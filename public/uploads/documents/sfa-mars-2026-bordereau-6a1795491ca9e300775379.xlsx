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763AF54-DDA9-4754-BFC8-79684B1AD0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1" sheetId="1" r:id="rId1"/>
  </sheets>
  <definedNames>
    <definedName name="_xlnm._FilterDatabase" localSheetId="0" hidden="1">Table1!$A$1:$Z$53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3" i="1" l="1"/>
  <c r="X53" i="1" s="1"/>
  <c r="Y53" i="1" s="1"/>
  <c r="Z53" i="1" s="1"/>
  <c r="S3" i="1" l="1"/>
  <c r="X3" i="1" s="1"/>
  <c r="Y3" i="1" s="1"/>
  <c r="Z3" i="1" s="1"/>
  <c r="S4" i="1"/>
  <c r="X4" i="1" s="1"/>
  <c r="Y4" i="1" s="1"/>
  <c r="Z4" i="1" s="1"/>
  <c r="S5" i="1"/>
  <c r="X5" i="1" s="1"/>
  <c r="Y5" i="1" s="1"/>
  <c r="Z5" i="1" s="1"/>
  <c r="S6" i="1"/>
  <c r="X6" i="1" s="1"/>
  <c r="Y6" i="1" s="1"/>
  <c r="Z6" i="1" s="1"/>
  <c r="S7" i="1"/>
  <c r="X7" i="1" s="1"/>
  <c r="Y7" i="1" s="1"/>
  <c r="Z7" i="1" s="1"/>
  <c r="S8" i="1"/>
  <c r="X8" i="1" s="1"/>
  <c r="Y8" i="1" s="1"/>
  <c r="Z8" i="1" s="1"/>
  <c r="S9" i="1"/>
  <c r="X9" i="1" s="1"/>
  <c r="Y9" i="1" s="1"/>
  <c r="Z9" i="1" s="1"/>
  <c r="S10" i="1"/>
  <c r="X10" i="1" s="1"/>
  <c r="Y10" i="1" s="1"/>
  <c r="Z10" i="1" s="1"/>
  <c r="S11" i="1"/>
  <c r="X11" i="1" s="1"/>
  <c r="Y11" i="1" s="1"/>
  <c r="Z11" i="1" s="1"/>
  <c r="S12" i="1"/>
  <c r="X12" i="1" s="1"/>
  <c r="Y12" i="1" s="1"/>
  <c r="Z12" i="1" s="1"/>
  <c r="S13" i="1"/>
  <c r="X13" i="1" s="1"/>
  <c r="Y13" i="1" s="1"/>
  <c r="Z13" i="1" s="1"/>
  <c r="S14" i="1"/>
  <c r="X14" i="1" s="1"/>
  <c r="Y14" i="1" s="1"/>
  <c r="Z14" i="1" s="1"/>
  <c r="S15" i="1"/>
  <c r="X15" i="1" s="1"/>
  <c r="Y15" i="1" s="1"/>
  <c r="Z15" i="1" s="1"/>
  <c r="S16" i="1"/>
  <c r="X16" i="1" s="1"/>
  <c r="Y16" i="1" s="1"/>
  <c r="Z16" i="1" s="1"/>
  <c r="S17" i="1"/>
  <c r="X17" i="1" s="1"/>
  <c r="Y17" i="1" s="1"/>
  <c r="Z17" i="1" s="1"/>
  <c r="S18" i="1"/>
  <c r="X18" i="1" s="1"/>
  <c r="Y18" i="1" s="1"/>
  <c r="Z18" i="1" s="1"/>
  <c r="S19" i="1"/>
  <c r="X19" i="1" s="1"/>
  <c r="Y19" i="1" s="1"/>
  <c r="Z19" i="1" s="1"/>
  <c r="S20" i="1"/>
  <c r="X20" i="1" s="1"/>
  <c r="Y20" i="1" s="1"/>
  <c r="Z20" i="1" s="1"/>
  <c r="S21" i="1"/>
  <c r="X21" i="1" s="1"/>
  <c r="Y21" i="1" s="1"/>
  <c r="Z21" i="1" s="1"/>
  <c r="S22" i="1"/>
  <c r="X22" i="1" s="1"/>
  <c r="Y22" i="1" s="1"/>
  <c r="Z22" i="1" s="1"/>
  <c r="S23" i="1"/>
  <c r="X23" i="1" s="1"/>
  <c r="Y23" i="1" s="1"/>
  <c r="Z23" i="1" s="1"/>
  <c r="S24" i="1"/>
  <c r="X24" i="1" s="1"/>
  <c r="Y24" i="1" s="1"/>
  <c r="Z24" i="1" s="1"/>
  <c r="S25" i="1"/>
  <c r="X25" i="1" s="1"/>
  <c r="Y25" i="1" s="1"/>
  <c r="Z25" i="1" s="1"/>
  <c r="S26" i="1"/>
  <c r="X26" i="1" s="1"/>
  <c r="Y26" i="1" s="1"/>
  <c r="Z26" i="1" s="1"/>
  <c r="S27" i="1"/>
  <c r="X27" i="1" s="1"/>
  <c r="Y27" i="1" s="1"/>
  <c r="Z27" i="1" s="1"/>
  <c r="S28" i="1"/>
  <c r="X28" i="1" s="1"/>
  <c r="Y28" i="1" s="1"/>
  <c r="Z28" i="1" s="1"/>
  <c r="S29" i="1"/>
  <c r="X29" i="1" s="1"/>
  <c r="Y29" i="1" s="1"/>
  <c r="Z29" i="1" s="1"/>
  <c r="S30" i="1"/>
  <c r="X30" i="1" s="1"/>
  <c r="Y30" i="1" s="1"/>
  <c r="Z30" i="1" s="1"/>
  <c r="S31" i="1"/>
  <c r="X31" i="1" s="1"/>
  <c r="Y31" i="1" s="1"/>
  <c r="Z31" i="1" s="1"/>
  <c r="S32" i="1"/>
  <c r="X32" i="1" s="1"/>
  <c r="Y32" i="1" s="1"/>
  <c r="Z32" i="1" s="1"/>
  <c r="S33" i="1"/>
  <c r="X33" i="1" s="1"/>
  <c r="Y33" i="1" s="1"/>
  <c r="Z33" i="1" s="1"/>
  <c r="S34" i="1"/>
  <c r="X34" i="1" s="1"/>
  <c r="Y34" i="1" s="1"/>
  <c r="Z34" i="1" s="1"/>
  <c r="S35" i="1"/>
  <c r="X35" i="1" s="1"/>
  <c r="Y35" i="1" s="1"/>
  <c r="Z35" i="1" s="1"/>
  <c r="S36" i="1"/>
  <c r="X36" i="1" s="1"/>
  <c r="Y36" i="1" s="1"/>
  <c r="Z36" i="1" s="1"/>
  <c r="S37" i="1"/>
  <c r="X37" i="1" s="1"/>
  <c r="Y37" i="1" s="1"/>
  <c r="Z37" i="1" s="1"/>
  <c r="S38" i="1"/>
  <c r="X38" i="1" s="1"/>
  <c r="Y38" i="1" s="1"/>
  <c r="Z38" i="1" s="1"/>
  <c r="S39" i="1"/>
  <c r="X39" i="1" s="1"/>
  <c r="Y39" i="1" s="1"/>
  <c r="Z39" i="1" s="1"/>
  <c r="S40" i="1"/>
  <c r="X40" i="1" s="1"/>
  <c r="Y40" i="1" s="1"/>
  <c r="Z40" i="1" s="1"/>
  <c r="S41" i="1"/>
  <c r="X41" i="1" s="1"/>
  <c r="Y41" i="1" s="1"/>
  <c r="Z41" i="1" s="1"/>
  <c r="S42" i="1"/>
  <c r="X42" i="1" s="1"/>
  <c r="Y42" i="1" s="1"/>
  <c r="Z42" i="1" s="1"/>
  <c r="S43" i="1"/>
  <c r="X43" i="1" s="1"/>
  <c r="Y43" i="1" s="1"/>
  <c r="Z43" i="1" s="1"/>
  <c r="S44" i="1"/>
  <c r="X44" i="1" s="1"/>
  <c r="Y44" i="1" s="1"/>
  <c r="Z44" i="1" s="1"/>
  <c r="S45" i="1"/>
  <c r="X45" i="1" s="1"/>
  <c r="Y45" i="1" s="1"/>
  <c r="Z45" i="1" s="1"/>
  <c r="S46" i="1"/>
  <c r="X46" i="1" s="1"/>
  <c r="Y46" i="1" s="1"/>
  <c r="Z46" i="1" s="1"/>
  <c r="S47" i="1"/>
  <c r="X47" i="1" s="1"/>
  <c r="Y47" i="1" s="1"/>
  <c r="Z47" i="1" s="1"/>
  <c r="S48" i="1"/>
  <c r="X48" i="1" s="1"/>
  <c r="Y48" i="1" s="1"/>
  <c r="Z48" i="1" s="1"/>
  <c r="S49" i="1"/>
  <c r="X49" i="1" s="1"/>
  <c r="Y49" i="1" s="1"/>
  <c r="Z49" i="1" s="1"/>
  <c r="S50" i="1"/>
  <c r="X50" i="1" s="1"/>
  <c r="Y50" i="1" s="1"/>
  <c r="Z50" i="1" s="1"/>
  <c r="S51" i="1"/>
  <c r="X51" i="1" s="1"/>
  <c r="Y51" i="1" s="1"/>
  <c r="Z51" i="1" s="1"/>
  <c r="S52" i="1"/>
  <c r="X52" i="1" s="1"/>
  <c r="Y52" i="1" s="1"/>
  <c r="Z52" i="1" s="1"/>
  <c r="S2" i="1"/>
  <c r="X2" i="1" l="1"/>
  <c r="Y2" i="1" s="1"/>
  <c r="Z2" i="1" s="1"/>
</calcChain>
</file>

<file path=xl/sharedStrings.xml><?xml version="1.0" encoding="utf-8"?>
<sst xmlns="http://schemas.openxmlformats.org/spreadsheetml/2006/main" count="440" uniqueCount="197">
  <si>
    <t>LOB Code</t>
  </si>
  <si>
    <t>COB Code</t>
  </si>
  <si>
    <t>Policy #</t>
  </si>
  <si>
    <t>End #</t>
  </si>
  <si>
    <t>External #</t>
  </si>
  <si>
    <t>Issue Date</t>
  </si>
  <si>
    <t>Effective</t>
  </si>
  <si>
    <t>Expiry</t>
  </si>
  <si>
    <t>Insured Name</t>
  </si>
  <si>
    <t>Broker Name</t>
  </si>
  <si>
    <t>Broker Com Pct</t>
  </si>
  <si>
    <t>Commission</t>
  </si>
  <si>
    <t>Prime nette</t>
  </si>
  <si>
    <t>Frais de Fronting</t>
  </si>
  <si>
    <t>Frais administratifs</t>
  </si>
  <si>
    <t>Frais Techniques</t>
  </si>
  <si>
    <t>NCB</t>
  </si>
  <si>
    <t>TVA</t>
  </si>
  <si>
    <t>Frais Arca</t>
  </si>
  <si>
    <t>Frais SNECA</t>
  </si>
  <si>
    <t>Payment Date</t>
  </si>
  <si>
    <t>Paid Amount</t>
  </si>
  <si>
    <t>AVI</t>
  </si>
  <si>
    <t>00063246</t>
  </si>
  <si>
    <t/>
  </si>
  <si>
    <t>12002-33002-0010-108-00063246-2025</t>
  </si>
  <si>
    <t>KIN AVIA</t>
  </si>
  <si>
    <t>AIB</t>
  </si>
  <si>
    <t>7.01</t>
  </si>
  <si>
    <t>AUT</t>
  </si>
  <si>
    <t>TRA</t>
  </si>
  <si>
    <t>00068489</t>
  </si>
  <si>
    <t>2</t>
  </si>
  <si>
    <t>12002-33002-0003-103-00068489-2025</t>
  </si>
  <si>
    <t>CHEMAF SA</t>
  </si>
  <si>
    <t>11.00</t>
  </si>
  <si>
    <t>00076214</t>
  </si>
  <si>
    <t>12002-33002-0010-108-00076214-2025</t>
  </si>
  <si>
    <t>IMMOBILIER DU CONGO ET SERVICES SARL</t>
  </si>
  <si>
    <t>4.78</t>
  </si>
  <si>
    <t>00076918</t>
  </si>
  <si>
    <t>12002-33002-0010-108-00076918-2025</t>
  </si>
  <si>
    <t>Malu Aviation</t>
  </si>
  <si>
    <t>35.72</t>
  </si>
  <si>
    <t>MAR</t>
  </si>
  <si>
    <t>MOC</t>
  </si>
  <si>
    <t>INSTITUTE OF TROPICAL MEDICINE (ITM)</t>
  </si>
  <si>
    <t>15.00</t>
  </si>
  <si>
    <t>17.50</t>
  </si>
  <si>
    <t>MED</t>
  </si>
  <si>
    <t>00079724</t>
  </si>
  <si>
    <t>12002-33020-0026-102-00079724-2025</t>
  </si>
  <si>
    <t>Ambassade Royale de Norvège</t>
  </si>
  <si>
    <t>8.00</t>
  </si>
  <si>
    <t>RD</t>
  </si>
  <si>
    <t>TDF</t>
  </si>
  <si>
    <t>00080847</t>
  </si>
  <si>
    <t>12002-33002-0002-112-00080847-2025</t>
  </si>
  <si>
    <t>CASH MANAGEMENT SOLUTIONS (CMS)</t>
  </si>
  <si>
    <t>13.75</t>
  </si>
  <si>
    <t>1</t>
  </si>
  <si>
    <t>12.50</t>
  </si>
  <si>
    <t>IMR</t>
  </si>
  <si>
    <t>3</t>
  </si>
  <si>
    <t>00071014</t>
  </si>
  <si>
    <t>12002-33002-0021-111-00071014-2025</t>
  </si>
  <si>
    <t>Kibali Goldmines SA</t>
  </si>
  <si>
    <t>5.29</t>
  </si>
  <si>
    <t>00086106</t>
  </si>
  <si>
    <t>12002-33002-0003-103-00086106-2026</t>
  </si>
  <si>
    <t>SEDEX ILUNGA</t>
  </si>
  <si>
    <t>00086144</t>
  </si>
  <si>
    <t>12002-33002-0021-111-00086144-2026</t>
  </si>
  <si>
    <t>Fracht Trading Mauritius</t>
  </si>
  <si>
    <t>RCT</t>
  </si>
  <si>
    <t>00086151</t>
  </si>
  <si>
    <t>12002-33002-0022-111-00086151-2026</t>
  </si>
  <si>
    <t>SOTRACO SARL</t>
  </si>
  <si>
    <t>00086154</t>
  </si>
  <si>
    <t>12002-33006-0021-111-00086154-2026</t>
  </si>
  <si>
    <t>TMW SARLU</t>
  </si>
  <si>
    <t>RC</t>
  </si>
  <si>
    <t>RCG</t>
  </si>
  <si>
    <t>00086160</t>
  </si>
  <si>
    <t>12002-33002-0024-113-00086160-2026</t>
  </si>
  <si>
    <t>UNICOMPEX CONGO Sarl</t>
  </si>
  <si>
    <t>00086204</t>
  </si>
  <si>
    <t>12002-33002-0021-111-00086204-2026</t>
  </si>
  <si>
    <t>00086276</t>
  </si>
  <si>
    <t>12002-33002-0003-103-00086276-2026</t>
  </si>
  <si>
    <t>UNIPOWER</t>
  </si>
  <si>
    <t>00086298</t>
  </si>
  <si>
    <t>12002-33002-0003-103-00086298-2026</t>
  </si>
  <si>
    <t>NTUMBA MUYA  GRACE</t>
  </si>
  <si>
    <t>00086415</t>
  </si>
  <si>
    <t>12002-33002-0003-103-00086415-2026</t>
  </si>
  <si>
    <t>MBUYU LUYONGOLA</t>
  </si>
  <si>
    <t>00086417</t>
  </si>
  <si>
    <t>12002-33002-0003-103-00086417-2026</t>
  </si>
  <si>
    <t>KAVIRA  NGULU JONESIE</t>
  </si>
  <si>
    <t>BORA  KINYOMA AYELLE</t>
  </si>
  <si>
    <t>00086424</t>
  </si>
  <si>
    <t>12002-33002-0003-103-00086424-2026</t>
  </si>
  <si>
    <t>00086436</t>
  </si>
  <si>
    <t>12002-33002-0021-111-00086436-2026</t>
  </si>
  <si>
    <t>Barrick Gold Corporation</t>
  </si>
  <si>
    <t>5.08</t>
  </si>
  <si>
    <t>00086483</t>
  </si>
  <si>
    <t>12002-33002-0021-111-00086483-2026</t>
  </si>
  <si>
    <t>NATIONAL METAL SARL</t>
  </si>
  <si>
    <t>00086484</t>
  </si>
  <si>
    <t>12002-33002-0021-111-00086484-2026</t>
  </si>
  <si>
    <t>MASIKA CHEM SARL</t>
  </si>
  <si>
    <t>00086507</t>
  </si>
  <si>
    <t>12002-33002-0021-111-00086507-2026</t>
  </si>
  <si>
    <t>00064798</t>
  </si>
  <si>
    <t>12002-33002-0002-112-00064798-2025</t>
  </si>
  <si>
    <t>16.00</t>
  </si>
  <si>
    <t>CNST</t>
  </si>
  <si>
    <t>TRC</t>
  </si>
  <si>
    <t>00016904</t>
  </si>
  <si>
    <t>11</t>
  </si>
  <si>
    <t>12002-33002-0006-114-00016904-2022</t>
  </si>
  <si>
    <t>CHEMAF SARL</t>
  </si>
  <si>
    <t>5.09</t>
  </si>
  <si>
    <t>00086789</t>
  </si>
  <si>
    <t>12002-33002-0021-111-00086789-2026</t>
  </si>
  <si>
    <t>00086790</t>
  </si>
  <si>
    <t>12002-33002-0021-111-00086790-2026</t>
  </si>
  <si>
    <t>00086792</t>
  </si>
  <si>
    <t>12002-33002-0021-111-00086792-2026</t>
  </si>
  <si>
    <t>00086797</t>
  </si>
  <si>
    <t>12002-33002-0021-111-00086797-2026</t>
  </si>
  <si>
    <t>00086908</t>
  </si>
  <si>
    <t>12002-33002-0021-111-00086908-2026</t>
  </si>
  <si>
    <t>00086909</t>
  </si>
  <si>
    <t>12002-33002-0021-111-00086909-2026</t>
  </si>
  <si>
    <t>00086910</t>
  </si>
  <si>
    <t>12002-33002-0021-111-00086910-2026</t>
  </si>
  <si>
    <t>00086999</t>
  </si>
  <si>
    <t>12002-33002-0021-111-00086999-2026</t>
  </si>
  <si>
    <t>BRM</t>
  </si>
  <si>
    <t>00065133</t>
  </si>
  <si>
    <t>12002-33002-0001-114-00065133-2025</t>
  </si>
  <si>
    <t>Sandvik Services</t>
  </si>
  <si>
    <t>00087026</t>
  </si>
  <si>
    <t>12002-33002-0003-103-00087026-2026</t>
  </si>
  <si>
    <t>VASRANI MISAMRAZA MUSTAKALI</t>
  </si>
  <si>
    <t>00087200</t>
  </si>
  <si>
    <t>12002-33002-0021-111-00087200-2026</t>
  </si>
  <si>
    <t>STE AFRICELL RDC SA</t>
  </si>
  <si>
    <t>00087203</t>
  </si>
  <si>
    <t>12002-33002-0003-103-00087203-2026</t>
  </si>
  <si>
    <t>AFRI MOBILE MONEY RDC SA</t>
  </si>
  <si>
    <t>00087208</t>
  </si>
  <si>
    <t>12002-33002-0003-103-00087208-2026</t>
  </si>
  <si>
    <t>00087249</t>
  </si>
  <si>
    <t>12002-33002-0003-103-00087249-2026</t>
  </si>
  <si>
    <t>MATIMBA  NYEMBO HUGOR</t>
  </si>
  <si>
    <t>00035172</t>
  </si>
  <si>
    <t>12002-33002-0002-112-00035172-2024</t>
  </si>
  <si>
    <t>00087355</t>
  </si>
  <si>
    <t>12002-33002-0003-103-00087355-2026</t>
  </si>
  <si>
    <t>MIHANZA MIANZAMBI CHRISTIAN</t>
  </si>
  <si>
    <t>00087418</t>
  </si>
  <si>
    <t>12002-33002-0003-103-00087418-2026</t>
  </si>
  <si>
    <t>ALBRECHT</t>
  </si>
  <si>
    <t>00035403</t>
  </si>
  <si>
    <t>12002-33002-0002-112-00035403-2024</t>
  </si>
  <si>
    <t>00087448</t>
  </si>
  <si>
    <t>12002-33002-0021-111-00087448-2026</t>
  </si>
  <si>
    <t>00087452</t>
  </si>
  <si>
    <t>12002-33002-0021-111-00087452-2026</t>
  </si>
  <si>
    <t>CRP</t>
  </si>
  <si>
    <t>00087470</t>
  </si>
  <si>
    <t>12002-33002-0012-106-00087470-2026</t>
  </si>
  <si>
    <t>AMBASSADE DE BELGIQUE</t>
  </si>
  <si>
    <t>10.00</t>
  </si>
  <si>
    <t>00087687</t>
  </si>
  <si>
    <t>12002-33002-0021-111-00087687-2026</t>
  </si>
  <si>
    <t>UNHCR DRC</t>
  </si>
  <si>
    <t>00087650</t>
  </si>
  <si>
    <t>12002-33002-0003-103-00087650-2026</t>
  </si>
  <si>
    <t>00021536</t>
  </si>
  <si>
    <t>12002-33002-0002-112-00021536-2023</t>
  </si>
  <si>
    <t>GVA</t>
  </si>
  <si>
    <t>00074994</t>
  </si>
  <si>
    <t>12002-33002-0010-108-00074994-2025</t>
  </si>
  <si>
    <t>DAKOTA SARL</t>
  </si>
  <si>
    <t>Total</t>
  </si>
  <si>
    <t>PMT Rate</t>
  </si>
  <si>
    <t>Commission to pay</t>
  </si>
  <si>
    <t>POL</t>
  </si>
  <si>
    <t>RVP</t>
  </si>
  <si>
    <t>00086073</t>
  </si>
  <si>
    <t>12002-33002-0005-122-00086073-2026</t>
  </si>
  <si>
    <t>TVA /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</si>
</sst>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4" fontId="0" fillId="0" borderId="0" xfId="0" applyNumberFormat="1"/>
    <xf numFmtId="164" fontId="2" fillId="0" borderId="0" xfId="1" applyFont="1"/>
    <xf numFmtId="164" fontId="0" fillId="0" borderId="0" xfId="1" applyFont="1"/>
    <xf numFmtId="0" fontId="2" fillId="0" borderId="1" xfId="0" applyFont="1" applyBorder="1"/>
    <xf numFmtId="164" fontId="2" fillId="0" borderId="1" xfId="1" applyFont="1" applyBorder="1"/>
    <xf numFmtId="14" fontId="2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1" applyFont="1" applyBorder="1"/>
    <xf numFmtId="164" fontId="0" fillId="0" borderId="1" xfId="0" applyNumberFormat="1" applyBorder="1"/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1" applyFont="1" applyBorder="1"/>
    <xf numFmtId="164" fontId="3" fillId="0" borderId="1" xfId="0" applyNumberFormat="1" applyFont="1" applyBorder="1"/>
    <xf numFmtId="0" fontId="3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R1" workbookViewId="0">
      <pane ySplit="1" topLeftCell="A44" activePane="bottomLeft" state="frozen"/>
      <selection pane="bottomLeft" activeCell="R54" sqref="A54:XFD64"/>
    </sheetView>
  </sheetViews>
  <sheetFormatPr baseColWidth="10" defaultColWidth="9.140625" defaultRowHeight="15" x14ac:dyDescent="0.25"/>
  <cols>
    <col min="1" max="1" width="9.85546875" bestFit="1" customWidth="1"/>
    <col min="2" max="2" width="10.28515625" bestFit="1" customWidth="1"/>
    <col min="3" max="3" width="9" bestFit="1" customWidth="1"/>
    <col min="4" max="4" width="8.140625" bestFit="1" customWidth="1"/>
    <col min="5" max="5" width="34.140625" bestFit="1" customWidth="1"/>
    <col min="6" max="6" width="10.5703125" style="2" bestFit="1" customWidth="1"/>
    <col min="7" max="8" width="10.42578125" style="2" bestFit="1" customWidth="1"/>
    <col min="9" max="9" width="37.7109375" bestFit="1" customWidth="1"/>
    <col min="10" max="10" width="12.5703125" bestFit="1" customWidth="1"/>
    <col min="11" max="11" width="13" style="4" bestFit="1" customWidth="1"/>
    <col min="12" max="12" width="17.42578125" style="4" bestFit="1" customWidth="1"/>
    <col min="13" max="13" width="19.85546875" style="4" bestFit="1" customWidth="1"/>
    <col min="14" max="14" width="17.7109375" style="4" bestFit="1" customWidth="1"/>
    <col min="15" max="15" width="6.42578125" style="4" bestFit="1" customWidth="1"/>
    <col min="16" max="16" width="11.42578125" style="4" bestFit="1" customWidth="1"/>
    <col min="17" max="17" width="11" style="4" bestFit="1" customWidth="1"/>
    <col min="18" max="18" width="13.42578125" style="4" bestFit="1" customWidth="1"/>
    <col min="19" max="19" width="12.85546875" style="4" bestFit="1" customWidth="1"/>
    <col min="20" max="20" width="13.5703125" style="2" bestFit="1" customWidth="1"/>
    <col min="21" max="21" width="13.7109375" style="4" bestFit="1" customWidth="1"/>
    <col min="22" max="22" width="14.85546875" bestFit="1" customWidth="1"/>
    <col min="23" max="23" width="13.85546875" style="4" bestFit="1" customWidth="1"/>
    <col min="24" max="24" width="12" bestFit="1" customWidth="1"/>
    <col min="25" max="25" width="22.140625" bestFit="1" customWidth="1"/>
    <col min="26" max="26" width="13.85546875" bestFit="1" customWidth="1"/>
  </cols>
  <sheetData>
    <row r="1" spans="1:26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189</v>
      </c>
      <c r="T1" s="7" t="s">
        <v>20</v>
      </c>
      <c r="U1" s="6" t="s">
        <v>21</v>
      </c>
      <c r="V1" s="5" t="s">
        <v>10</v>
      </c>
      <c r="W1" s="6" t="s">
        <v>11</v>
      </c>
      <c r="X1" s="5" t="s">
        <v>190</v>
      </c>
      <c r="Y1" s="6" t="s">
        <v>191</v>
      </c>
      <c r="Z1" s="6" t="s">
        <v>196</v>
      </c>
    </row>
    <row r="2" spans="1:26" x14ac:dyDescent="0.25">
      <c r="A2" s="8" t="s">
        <v>22</v>
      </c>
      <c r="B2" s="8" t="s">
        <v>22</v>
      </c>
      <c r="C2" s="8" t="s">
        <v>23</v>
      </c>
      <c r="D2" s="8" t="s">
        <v>24</v>
      </c>
      <c r="E2" s="8" t="s">
        <v>25</v>
      </c>
      <c r="F2" s="9">
        <v>45693</v>
      </c>
      <c r="G2" s="9">
        <v>45688</v>
      </c>
      <c r="H2" s="9">
        <v>46052</v>
      </c>
      <c r="I2" s="8" t="s">
        <v>26</v>
      </c>
      <c r="J2" s="8" t="s">
        <v>27</v>
      </c>
      <c r="K2" s="10">
        <v>59225</v>
      </c>
      <c r="L2" s="10">
        <v>8883.75</v>
      </c>
      <c r="M2" s="10">
        <v>681.09</v>
      </c>
      <c r="N2" s="10">
        <v>1375.8</v>
      </c>
      <c r="O2" s="10">
        <v>0</v>
      </c>
      <c r="P2" s="10">
        <v>11226.5</v>
      </c>
      <c r="Q2" s="10">
        <v>0</v>
      </c>
      <c r="R2" s="10">
        <v>0</v>
      </c>
      <c r="S2" s="10">
        <f>SUM(K2:R2)</f>
        <v>81392.14</v>
      </c>
      <c r="T2" s="9">
        <v>46085</v>
      </c>
      <c r="U2" s="10">
        <v>20388.05</v>
      </c>
      <c r="V2" s="8" t="s">
        <v>28</v>
      </c>
      <c r="W2" s="10">
        <v>4152.1899999999996</v>
      </c>
      <c r="X2" s="8">
        <f>U2/S2</f>
        <v>0.25049163223869036</v>
      </c>
      <c r="Y2" s="11">
        <f>X2*W2</f>
        <v>1040.0888504651678</v>
      </c>
      <c r="Z2" s="11">
        <f>16%*Y2</f>
        <v>166.41421607442683</v>
      </c>
    </row>
    <row r="3" spans="1:26" x14ac:dyDescent="0.25">
      <c r="A3" s="8" t="s">
        <v>29</v>
      </c>
      <c r="B3" s="8" t="s">
        <v>30</v>
      </c>
      <c r="C3" s="8" t="s">
        <v>31</v>
      </c>
      <c r="D3" s="8" t="s">
        <v>32</v>
      </c>
      <c r="E3" s="8" t="s">
        <v>33</v>
      </c>
      <c r="F3" s="9">
        <v>45827</v>
      </c>
      <c r="G3" s="9">
        <v>45827</v>
      </c>
      <c r="H3" s="9">
        <v>46134</v>
      </c>
      <c r="I3" s="8" t="s">
        <v>34</v>
      </c>
      <c r="J3" s="8" t="s">
        <v>27</v>
      </c>
      <c r="K3" s="10">
        <v>1145.06</v>
      </c>
      <c r="L3" s="10">
        <v>0</v>
      </c>
      <c r="M3" s="10">
        <v>17.18</v>
      </c>
      <c r="N3" s="10">
        <v>25.24</v>
      </c>
      <c r="O3" s="10">
        <v>0</v>
      </c>
      <c r="P3" s="10">
        <v>190</v>
      </c>
      <c r="Q3" s="10">
        <v>0</v>
      </c>
      <c r="R3" s="10">
        <v>4</v>
      </c>
      <c r="S3" s="10">
        <f t="shared" ref="S3:S19" si="0">SUM(K3:R3)</f>
        <v>1381.48</v>
      </c>
      <c r="T3" s="9">
        <v>46092</v>
      </c>
      <c r="U3" s="10">
        <v>1381.48</v>
      </c>
      <c r="V3" s="8" t="s">
        <v>35</v>
      </c>
      <c r="W3" s="10">
        <v>125.96</v>
      </c>
      <c r="X3" s="8">
        <f t="shared" ref="X3:X19" si="1">U3/S3</f>
        <v>1</v>
      </c>
      <c r="Y3" s="11">
        <f t="shared" ref="Y3:Y19" si="2">X3*W3</f>
        <v>125.96</v>
      </c>
      <c r="Z3" s="11">
        <f>16%*Y3</f>
        <v>20.153600000000001</v>
      </c>
    </row>
    <row r="4" spans="1:26" x14ac:dyDescent="0.25">
      <c r="A4" s="8" t="s">
        <v>22</v>
      </c>
      <c r="B4" s="8" t="s">
        <v>22</v>
      </c>
      <c r="C4" s="8" t="s">
        <v>36</v>
      </c>
      <c r="D4" s="8" t="s">
        <v>24</v>
      </c>
      <c r="E4" s="8" t="s">
        <v>37</v>
      </c>
      <c r="F4" s="9">
        <v>45889</v>
      </c>
      <c r="G4" s="9">
        <v>45889</v>
      </c>
      <c r="H4" s="9">
        <v>46253</v>
      </c>
      <c r="I4" s="8" t="s">
        <v>38</v>
      </c>
      <c r="J4" s="8" t="s">
        <v>27</v>
      </c>
      <c r="K4" s="10">
        <v>69957.42</v>
      </c>
      <c r="L4" s="10">
        <v>12345.43</v>
      </c>
      <c r="M4" s="10">
        <v>349.79</v>
      </c>
      <c r="N4" s="10">
        <v>1653.05</v>
      </c>
      <c r="O4" s="10">
        <v>0</v>
      </c>
      <c r="P4" s="10">
        <v>13488.91</v>
      </c>
      <c r="Q4" s="10">
        <v>0</v>
      </c>
      <c r="R4" s="10">
        <v>0</v>
      </c>
      <c r="S4" s="10">
        <f t="shared" si="0"/>
        <v>97794.6</v>
      </c>
      <c r="T4" s="9">
        <v>46083</v>
      </c>
      <c r="U4" s="10">
        <v>24448.65</v>
      </c>
      <c r="V4" s="8" t="s">
        <v>39</v>
      </c>
      <c r="W4" s="10">
        <v>3340.7</v>
      </c>
      <c r="X4" s="8">
        <f t="shared" si="1"/>
        <v>0.25</v>
      </c>
      <c r="Y4" s="11">
        <f t="shared" si="2"/>
        <v>835.17499999999995</v>
      </c>
      <c r="Z4" s="11">
        <f t="shared" ref="Z4:Z53" si="3">16%*Y4</f>
        <v>133.62799999999999</v>
      </c>
    </row>
    <row r="5" spans="1:26" x14ac:dyDescent="0.25">
      <c r="A5" s="8" t="s">
        <v>22</v>
      </c>
      <c r="B5" s="8" t="s">
        <v>22</v>
      </c>
      <c r="C5" s="8" t="s">
        <v>40</v>
      </c>
      <c r="D5" s="8" t="s">
        <v>24</v>
      </c>
      <c r="E5" s="8" t="s">
        <v>41</v>
      </c>
      <c r="F5" s="9">
        <v>45903</v>
      </c>
      <c r="G5" s="9">
        <v>45901</v>
      </c>
      <c r="H5" s="9">
        <v>46265</v>
      </c>
      <c r="I5" s="8" t="s">
        <v>42</v>
      </c>
      <c r="J5" s="8" t="s">
        <v>27</v>
      </c>
      <c r="K5" s="10">
        <v>72177.75</v>
      </c>
      <c r="L5" s="10">
        <v>12737.25</v>
      </c>
      <c r="M5" s="10">
        <v>370.89</v>
      </c>
      <c r="N5" s="10">
        <v>1705.72</v>
      </c>
      <c r="O5" s="10">
        <v>0</v>
      </c>
      <c r="P5" s="10">
        <v>13918.66</v>
      </c>
      <c r="Q5" s="10">
        <v>0</v>
      </c>
      <c r="R5" s="10">
        <v>0</v>
      </c>
      <c r="S5" s="10">
        <f t="shared" si="0"/>
        <v>100910.27</v>
      </c>
      <c r="T5" s="9">
        <v>46087</v>
      </c>
      <c r="U5" s="10">
        <v>25387</v>
      </c>
      <c r="V5" s="8" t="s">
        <v>43</v>
      </c>
      <c r="W5" s="10">
        <v>25784.75</v>
      </c>
      <c r="X5" s="8">
        <f t="shared" si="1"/>
        <v>0.25157994325057298</v>
      </c>
      <c r="Y5" s="11">
        <f>X5*W5</f>
        <v>6486.9259417302119</v>
      </c>
      <c r="Z5" s="11">
        <f t="shared" si="3"/>
        <v>1037.9081506768339</v>
      </c>
    </row>
    <row r="6" spans="1:26" x14ac:dyDescent="0.25">
      <c r="A6" s="8" t="s">
        <v>49</v>
      </c>
      <c r="B6" s="8" t="s">
        <v>49</v>
      </c>
      <c r="C6" s="8" t="s">
        <v>50</v>
      </c>
      <c r="D6" s="8" t="s">
        <v>24</v>
      </c>
      <c r="E6" s="8" t="s">
        <v>51</v>
      </c>
      <c r="F6" s="9">
        <v>45961</v>
      </c>
      <c r="G6" s="9">
        <v>45870</v>
      </c>
      <c r="H6" s="9">
        <v>46234</v>
      </c>
      <c r="I6" s="8" t="s">
        <v>52</v>
      </c>
      <c r="J6" s="8" t="s">
        <v>27</v>
      </c>
      <c r="K6" s="10">
        <v>51755.18</v>
      </c>
      <c r="L6" s="10">
        <v>16439.88</v>
      </c>
      <c r="M6" s="10">
        <v>0</v>
      </c>
      <c r="N6" s="10">
        <v>1363.9</v>
      </c>
      <c r="O6" s="10">
        <v>0</v>
      </c>
      <c r="P6" s="10">
        <v>0</v>
      </c>
      <c r="Q6" s="10">
        <v>0</v>
      </c>
      <c r="R6" s="10">
        <v>0</v>
      </c>
      <c r="S6" s="10">
        <f t="shared" si="0"/>
        <v>69558.959999999992</v>
      </c>
      <c r="T6" s="9">
        <v>46091</v>
      </c>
      <c r="U6" s="10">
        <v>17389.740000000002</v>
      </c>
      <c r="V6" s="8" t="s">
        <v>53</v>
      </c>
      <c r="W6" s="10">
        <v>4140.41</v>
      </c>
      <c r="X6" s="8">
        <f t="shared" si="1"/>
        <v>0.25000000000000006</v>
      </c>
      <c r="Y6" s="11">
        <f t="shared" si="2"/>
        <v>1035.1025000000002</v>
      </c>
      <c r="Z6" s="11">
        <f t="shared" si="3"/>
        <v>165.61640000000003</v>
      </c>
    </row>
    <row r="7" spans="1:26" x14ac:dyDescent="0.25">
      <c r="A7" s="8" t="s">
        <v>54</v>
      </c>
      <c r="B7" s="8" t="s">
        <v>55</v>
      </c>
      <c r="C7" s="8" t="s">
        <v>56</v>
      </c>
      <c r="D7" s="8" t="s">
        <v>24</v>
      </c>
      <c r="E7" s="8" t="s">
        <v>57</v>
      </c>
      <c r="F7" s="9">
        <v>45992</v>
      </c>
      <c r="G7" s="9">
        <v>45992</v>
      </c>
      <c r="H7" s="9">
        <v>46356</v>
      </c>
      <c r="I7" s="8" t="s">
        <v>58</v>
      </c>
      <c r="J7" s="8" t="s">
        <v>27</v>
      </c>
      <c r="K7" s="10">
        <v>557500</v>
      </c>
      <c r="L7" s="10">
        <v>83625</v>
      </c>
      <c r="M7" s="10">
        <v>0</v>
      </c>
      <c r="N7" s="10">
        <v>12822.5</v>
      </c>
      <c r="O7" s="10">
        <v>0</v>
      </c>
      <c r="P7" s="10">
        <v>104631.6</v>
      </c>
      <c r="Q7" s="10">
        <v>0</v>
      </c>
      <c r="R7" s="10">
        <v>0</v>
      </c>
      <c r="S7" s="10">
        <f t="shared" si="0"/>
        <v>758579.1</v>
      </c>
      <c r="T7" s="9">
        <v>46100</v>
      </c>
      <c r="U7" s="10">
        <v>52654.09</v>
      </c>
      <c r="V7" s="8" t="s">
        <v>59</v>
      </c>
      <c r="W7" s="10">
        <v>76656</v>
      </c>
      <c r="X7" s="8">
        <f t="shared" si="1"/>
        <v>6.9411469416966534E-2</v>
      </c>
      <c r="Y7" s="11">
        <f t="shared" si="2"/>
        <v>5320.8055996269868</v>
      </c>
      <c r="Z7" s="11">
        <f t="shared" si="3"/>
        <v>851.32889594031792</v>
      </c>
    </row>
    <row r="8" spans="1:26" x14ac:dyDescent="0.25">
      <c r="A8" s="8" t="s">
        <v>54</v>
      </c>
      <c r="B8" s="8" t="s">
        <v>55</v>
      </c>
      <c r="C8" s="8" t="s">
        <v>56</v>
      </c>
      <c r="D8" s="8" t="s">
        <v>24</v>
      </c>
      <c r="E8" s="8" t="s">
        <v>57</v>
      </c>
      <c r="F8" s="9">
        <v>45992</v>
      </c>
      <c r="G8" s="9">
        <v>45992</v>
      </c>
      <c r="H8" s="9">
        <v>46356</v>
      </c>
      <c r="I8" s="8" t="s">
        <v>58</v>
      </c>
      <c r="J8" s="8" t="s">
        <v>27</v>
      </c>
      <c r="K8" s="10">
        <v>557500</v>
      </c>
      <c r="L8" s="10">
        <v>83625</v>
      </c>
      <c r="M8" s="10">
        <v>0</v>
      </c>
      <c r="N8" s="10">
        <v>12822.5</v>
      </c>
      <c r="O8" s="10">
        <v>0</v>
      </c>
      <c r="P8" s="10">
        <v>104631.6</v>
      </c>
      <c r="Q8" s="10">
        <v>0</v>
      </c>
      <c r="R8" s="10">
        <v>0</v>
      </c>
      <c r="S8" s="10">
        <f t="shared" si="0"/>
        <v>758579.1</v>
      </c>
      <c r="T8" s="9">
        <v>46085</v>
      </c>
      <c r="U8" s="10">
        <v>52654.09</v>
      </c>
      <c r="V8" s="8" t="s">
        <v>59</v>
      </c>
      <c r="W8" s="10">
        <v>76656</v>
      </c>
      <c r="X8" s="8">
        <f t="shared" si="1"/>
        <v>6.9411469416966534E-2</v>
      </c>
      <c r="Y8" s="11">
        <f t="shared" si="2"/>
        <v>5320.8055996269868</v>
      </c>
      <c r="Z8" s="11">
        <f t="shared" si="3"/>
        <v>851.32889594031792</v>
      </c>
    </row>
    <row r="9" spans="1:26" x14ac:dyDescent="0.25">
      <c r="A9" s="8" t="s">
        <v>44</v>
      </c>
      <c r="B9" s="8" t="s">
        <v>45</v>
      </c>
      <c r="C9" s="8" t="s">
        <v>64</v>
      </c>
      <c r="D9" s="8" t="s">
        <v>60</v>
      </c>
      <c r="E9" s="8" t="s">
        <v>65</v>
      </c>
      <c r="F9" s="9">
        <v>46081</v>
      </c>
      <c r="G9" s="9">
        <v>46082</v>
      </c>
      <c r="H9" s="9">
        <v>46112</v>
      </c>
      <c r="I9" s="8" t="s">
        <v>66</v>
      </c>
      <c r="J9" s="8" t="s">
        <v>27</v>
      </c>
      <c r="K9" s="10">
        <v>2309.23</v>
      </c>
      <c r="L9" s="10">
        <v>391.21</v>
      </c>
      <c r="M9" s="10">
        <v>0</v>
      </c>
      <c r="N9" s="10">
        <v>54.01</v>
      </c>
      <c r="O9" s="10">
        <v>0</v>
      </c>
      <c r="P9" s="10">
        <v>440.71</v>
      </c>
      <c r="Q9" s="10">
        <v>0</v>
      </c>
      <c r="R9" s="10">
        <v>0</v>
      </c>
      <c r="S9" s="10">
        <f t="shared" si="0"/>
        <v>3195.1600000000003</v>
      </c>
      <c r="T9" s="9">
        <v>46104</v>
      </c>
      <c r="U9" s="10">
        <v>3195.16</v>
      </c>
      <c r="V9" s="8" t="s">
        <v>67</v>
      </c>
      <c r="W9" s="10">
        <v>122.16</v>
      </c>
      <c r="X9" s="8">
        <f t="shared" si="1"/>
        <v>0.99999999999999989</v>
      </c>
      <c r="Y9" s="11">
        <f t="shared" si="2"/>
        <v>122.15999999999998</v>
      </c>
      <c r="Z9" s="11">
        <f t="shared" si="3"/>
        <v>19.545599999999997</v>
      </c>
    </row>
    <row r="10" spans="1:26" x14ac:dyDescent="0.25">
      <c r="A10" s="8" t="s">
        <v>29</v>
      </c>
      <c r="B10" s="8" t="s">
        <v>30</v>
      </c>
      <c r="C10" s="8" t="s">
        <v>68</v>
      </c>
      <c r="D10" s="8" t="s">
        <v>24</v>
      </c>
      <c r="E10" s="8" t="s">
        <v>69</v>
      </c>
      <c r="F10" s="9">
        <v>46084</v>
      </c>
      <c r="G10" s="9">
        <v>46084</v>
      </c>
      <c r="H10" s="9">
        <v>46263</v>
      </c>
      <c r="I10" s="8" t="s">
        <v>70</v>
      </c>
      <c r="J10" s="8" t="s">
        <v>27</v>
      </c>
      <c r="K10" s="10">
        <v>128.4</v>
      </c>
      <c r="L10" s="10">
        <v>0</v>
      </c>
      <c r="M10" s="10">
        <v>1.93</v>
      </c>
      <c r="N10" s="10">
        <v>4.6100000000000003</v>
      </c>
      <c r="O10" s="10">
        <v>0</v>
      </c>
      <c r="P10" s="10">
        <v>21.91</v>
      </c>
      <c r="Q10" s="10">
        <v>0</v>
      </c>
      <c r="R10" s="10">
        <v>2</v>
      </c>
      <c r="S10" s="10">
        <f t="shared" si="0"/>
        <v>158.85000000000002</v>
      </c>
      <c r="T10" s="9">
        <v>46084</v>
      </c>
      <c r="U10" s="10">
        <v>158.85</v>
      </c>
      <c r="V10" s="8" t="s">
        <v>61</v>
      </c>
      <c r="W10" s="10">
        <v>16.05</v>
      </c>
      <c r="X10" s="8">
        <f t="shared" si="1"/>
        <v>0.99999999999999978</v>
      </c>
      <c r="Y10" s="11">
        <f t="shared" si="2"/>
        <v>16.049999999999997</v>
      </c>
      <c r="Z10" s="11">
        <f t="shared" si="3"/>
        <v>2.5679999999999996</v>
      </c>
    </row>
    <row r="11" spans="1:26" x14ac:dyDescent="0.25">
      <c r="A11" s="8" t="s">
        <v>44</v>
      </c>
      <c r="B11" s="8" t="s">
        <v>45</v>
      </c>
      <c r="C11" s="8" t="s">
        <v>71</v>
      </c>
      <c r="D11" s="8" t="s">
        <v>24</v>
      </c>
      <c r="E11" s="8" t="s">
        <v>72</v>
      </c>
      <c r="F11" s="9">
        <v>46085</v>
      </c>
      <c r="G11" s="9">
        <v>46084</v>
      </c>
      <c r="H11" s="9">
        <v>46448</v>
      </c>
      <c r="I11" s="8" t="s">
        <v>73</v>
      </c>
      <c r="J11" s="8" t="s">
        <v>27</v>
      </c>
      <c r="K11" s="10">
        <v>628.33000000000004</v>
      </c>
      <c r="L11" s="10">
        <v>0</v>
      </c>
      <c r="M11" s="10">
        <v>90</v>
      </c>
      <c r="N11" s="10">
        <v>14.37</v>
      </c>
      <c r="O11" s="10">
        <v>0</v>
      </c>
      <c r="P11" s="10">
        <v>177.23</v>
      </c>
      <c r="Q11" s="10">
        <v>0</v>
      </c>
      <c r="R11" s="10">
        <v>375</v>
      </c>
      <c r="S11" s="10">
        <f t="shared" si="0"/>
        <v>1284.93</v>
      </c>
      <c r="T11" s="9">
        <v>46085</v>
      </c>
      <c r="U11" s="10">
        <v>1284.93</v>
      </c>
      <c r="V11" s="8" t="s">
        <v>47</v>
      </c>
      <c r="W11" s="10">
        <v>94.25</v>
      </c>
      <c r="X11" s="8">
        <f t="shared" si="1"/>
        <v>1</v>
      </c>
      <c r="Y11" s="11">
        <f t="shared" si="2"/>
        <v>94.25</v>
      </c>
      <c r="Z11" s="11">
        <f t="shared" si="3"/>
        <v>15.08</v>
      </c>
    </row>
    <row r="12" spans="1:26" x14ac:dyDescent="0.25">
      <c r="A12" s="8" t="s">
        <v>44</v>
      </c>
      <c r="B12" s="8" t="s">
        <v>74</v>
      </c>
      <c r="C12" s="8" t="s">
        <v>75</v>
      </c>
      <c r="D12" s="8" t="s">
        <v>24</v>
      </c>
      <c r="E12" s="8" t="s">
        <v>76</v>
      </c>
      <c r="F12" s="9">
        <v>46085</v>
      </c>
      <c r="G12" s="9">
        <v>46071</v>
      </c>
      <c r="H12" s="9">
        <v>46435</v>
      </c>
      <c r="I12" s="8" t="s">
        <v>77</v>
      </c>
      <c r="J12" s="8" t="s">
        <v>27</v>
      </c>
      <c r="K12" s="10">
        <v>5662.2</v>
      </c>
      <c r="L12" s="10">
        <v>0</v>
      </c>
      <c r="M12" s="10">
        <v>84.93</v>
      </c>
      <c r="N12" s="10">
        <v>114.94</v>
      </c>
      <c r="O12" s="10">
        <v>0</v>
      </c>
      <c r="P12" s="10">
        <v>937.93</v>
      </c>
      <c r="Q12" s="10">
        <v>0</v>
      </c>
      <c r="R12" s="10">
        <v>0</v>
      </c>
      <c r="S12" s="10">
        <f t="shared" si="0"/>
        <v>6800</v>
      </c>
      <c r="T12" s="9">
        <v>46091</v>
      </c>
      <c r="U12" s="10">
        <v>6800</v>
      </c>
      <c r="V12" s="8" t="s">
        <v>47</v>
      </c>
      <c r="W12" s="10">
        <v>849.33</v>
      </c>
      <c r="X12" s="8">
        <f t="shared" si="1"/>
        <v>1</v>
      </c>
      <c r="Y12" s="11">
        <f t="shared" si="2"/>
        <v>849.33</v>
      </c>
      <c r="Z12" s="11">
        <f t="shared" si="3"/>
        <v>135.89280000000002</v>
      </c>
    </row>
    <row r="13" spans="1:26" x14ac:dyDescent="0.25">
      <c r="A13" s="8" t="s">
        <v>44</v>
      </c>
      <c r="B13" s="8" t="s">
        <v>45</v>
      </c>
      <c r="C13" s="8" t="s">
        <v>78</v>
      </c>
      <c r="D13" s="8" t="s">
        <v>24</v>
      </c>
      <c r="E13" s="8" t="s">
        <v>79</v>
      </c>
      <c r="F13" s="9">
        <v>46085</v>
      </c>
      <c r="G13" s="9">
        <v>46083</v>
      </c>
      <c r="H13" s="9">
        <v>46447</v>
      </c>
      <c r="I13" s="8" t="s">
        <v>80</v>
      </c>
      <c r="J13" s="8" t="s">
        <v>27</v>
      </c>
      <c r="K13" s="10">
        <v>15</v>
      </c>
      <c r="L13" s="10">
        <v>0</v>
      </c>
      <c r="M13" s="10">
        <v>2.74</v>
      </c>
      <c r="N13" s="10">
        <v>0.36</v>
      </c>
      <c r="O13" s="10">
        <v>0</v>
      </c>
      <c r="P13" s="10">
        <v>3.7</v>
      </c>
      <c r="Q13" s="10">
        <v>0</v>
      </c>
      <c r="R13" s="10">
        <v>5</v>
      </c>
      <c r="S13" s="10">
        <f t="shared" si="0"/>
        <v>26.8</v>
      </c>
      <c r="T13" s="9">
        <v>46085</v>
      </c>
      <c r="U13" s="10">
        <v>26.8</v>
      </c>
      <c r="V13" s="8" t="s">
        <v>47</v>
      </c>
      <c r="W13" s="10">
        <v>2.25</v>
      </c>
      <c r="X13" s="8">
        <f t="shared" si="1"/>
        <v>1</v>
      </c>
      <c r="Y13" s="11">
        <f t="shared" si="2"/>
        <v>2.25</v>
      </c>
      <c r="Z13" s="11">
        <f t="shared" si="3"/>
        <v>0.36</v>
      </c>
    </row>
    <row r="14" spans="1:26" x14ac:dyDescent="0.25">
      <c r="A14" s="8" t="s">
        <v>81</v>
      </c>
      <c r="B14" s="8" t="s">
        <v>82</v>
      </c>
      <c r="C14" s="8" t="s">
        <v>83</v>
      </c>
      <c r="D14" s="8" t="s">
        <v>24</v>
      </c>
      <c r="E14" s="8" t="s">
        <v>84</v>
      </c>
      <c r="F14" s="9">
        <v>46085</v>
      </c>
      <c r="G14" s="9">
        <v>45719</v>
      </c>
      <c r="H14" s="9">
        <v>46083</v>
      </c>
      <c r="I14" s="8" t="s">
        <v>85</v>
      </c>
      <c r="J14" s="8" t="s">
        <v>27</v>
      </c>
      <c r="K14" s="10">
        <v>5000</v>
      </c>
      <c r="L14" s="10">
        <v>0</v>
      </c>
      <c r="M14" s="10">
        <v>75</v>
      </c>
      <c r="N14" s="10">
        <v>101.5</v>
      </c>
      <c r="O14" s="10">
        <v>0</v>
      </c>
      <c r="P14" s="10">
        <v>828.24</v>
      </c>
      <c r="Q14" s="10">
        <v>0</v>
      </c>
      <c r="R14" s="10">
        <v>0</v>
      </c>
      <c r="S14" s="10">
        <f t="shared" si="0"/>
        <v>6004.74</v>
      </c>
      <c r="T14" s="9">
        <v>46084</v>
      </c>
      <c r="U14" s="10">
        <v>6004.74</v>
      </c>
      <c r="V14" s="8" t="s">
        <v>47</v>
      </c>
      <c r="W14" s="10">
        <v>750</v>
      </c>
      <c r="X14" s="8">
        <f t="shared" si="1"/>
        <v>1</v>
      </c>
      <c r="Y14" s="11">
        <f t="shared" si="2"/>
        <v>750</v>
      </c>
      <c r="Z14" s="11">
        <f t="shared" si="3"/>
        <v>120</v>
      </c>
    </row>
    <row r="15" spans="1:26" x14ac:dyDescent="0.25">
      <c r="A15" s="8" t="s">
        <v>44</v>
      </c>
      <c r="B15" s="8" t="s">
        <v>45</v>
      </c>
      <c r="C15" s="8" t="s">
        <v>86</v>
      </c>
      <c r="D15" s="8" t="s">
        <v>24</v>
      </c>
      <c r="E15" s="8" t="s">
        <v>87</v>
      </c>
      <c r="F15" s="9">
        <v>46085</v>
      </c>
      <c r="G15" s="9">
        <v>46077</v>
      </c>
      <c r="H15" s="9">
        <v>46441</v>
      </c>
      <c r="I15" s="8" t="s">
        <v>85</v>
      </c>
      <c r="J15" s="8" t="s">
        <v>27</v>
      </c>
      <c r="K15" s="10">
        <v>11616.87</v>
      </c>
      <c r="L15" s="10">
        <v>0</v>
      </c>
      <c r="M15" s="10">
        <v>441.44</v>
      </c>
      <c r="N15" s="10">
        <v>0</v>
      </c>
      <c r="O15" s="10">
        <v>0</v>
      </c>
      <c r="P15" s="10">
        <v>1929.33</v>
      </c>
      <c r="Q15" s="10">
        <v>0</v>
      </c>
      <c r="R15" s="10">
        <v>0</v>
      </c>
      <c r="S15" s="10">
        <f t="shared" si="0"/>
        <v>13987.640000000001</v>
      </c>
      <c r="T15" s="9">
        <v>46084</v>
      </c>
      <c r="U15" s="10">
        <v>13987.64</v>
      </c>
      <c r="V15" s="8" t="s">
        <v>47</v>
      </c>
      <c r="W15" s="10">
        <v>1742.53</v>
      </c>
      <c r="X15" s="8">
        <f t="shared" si="1"/>
        <v>0.99999999999999989</v>
      </c>
      <c r="Y15" s="11">
        <f t="shared" si="2"/>
        <v>1742.5299999999997</v>
      </c>
      <c r="Z15" s="11">
        <f t="shared" si="3"/>
        <v>278.80479999999994</v>
      </c>
    </row>
    <row r="16" spans="1:26" x14ac:dyDescent="0.25">
      <c r="A16" s="8" t="s">
        <v>29</v>
      </c>
      <c r="B16" s="8" t="s">
        <v>30</v>
      </c>
      <c r="C16" s="8" t="s">
        <v>88</v>
      </c>
      <c r="D16" s="8" t="s">
        <v>24</v>
      </c>
      <c r="E16" s="8" t="s">
        <v>89</v>
      </c>
      <c r="F16" s="9">
        <v>46086</v>
      </c>
      <c r="G16" s="9">
        <v>46077</v>
      </c>
      <c r="H16" s="9">
        <v>46441</v>
      </c>
      <c r="I16" s="8" t="s">
        <v>90</v>
      </c>
      <c r="J16" s="8" t="s">
        <v>27</v>
      </c>
      <c r="K16" s="10">
        <v>12892.16</v>
      </c>
      <c r="L16" s="10">
        <v>0</v>
      </c>
      <c r="M16" s="10">
        <v>193.21</v>
      </c>
      <c r="N16" s="10">
        <v>501.97</v>
      </c>
      <c r="O16" s="10">
        <v>0</v>
      </c>
      <c r="P16" s="10">
        <v>2212.37</v>
      </c>
      <c r="Q16" s="10">
        <v>0</v>
      </c>
      <c r="R16" s="10">
        <v>240</v>
      </c>
      <c r="S16" s="10">
        <f t="shared" si="0"/>
        <v>16039.71</v>
      </c>
      <c r="T16" s="9">
        <v>46090</v>
      </c>
      <c r="U16" s="10">
        <v>16039.71</v>
      </c>
      <c r="V16" s="8" t="s">
        <v>35</v>
      </c>
      <c r="W16" s="10">
        <v>1418.14</v>
      </c>
      <c r="X16" s="8">
        <f t="shared" si="1"/>
        <v>1</v>
      </c>
      <c r="Y16" s="11">
        <f t="shared" si="2"/>
        <v>1418.14</v>
      </c>
      <c r="Z16" s="11">
        <f t="shared" si="3"/>
        <v>226.90240000000003</v>
      </c>
    </row>
    <row r="17" spans="1:26" x14ac:dyDescent="0.25">
      <c r="A17" s="8" t="s">
        <v>29</v>
      </c>
      <c r="B17" s="8" t="s">
        <v>30</v>
      </c>
      <c r="C17" s="8" t="s">
        <v>91</v>
      </c>
      <c r="D17" s="8" t="s">
        <v>24</v>
      </c>
      <c r="E17" s="8" t="s">
        <v>92</v>
      </c>
      <c r="F17" s="9">
        <v>46087</v>
      </c>
      <c r="G17" s="9">
        <v>46087</v>
      </c>
      <c r="H17" s="9">
        <v>46266</v>
      </c>
      <c r="I17" s="8" t="s">
        <v>93</v>
      </c>
      <c r="J17" s="8" t="s">
        <v>27</v>
      </c>
      <c r="K17" s="10">
        <v>99</v>
      </c>
      <c r="L17" s="10">
        <v>0</v>
      </c>
      <c r="M17" s="10">
        <v>1.49</v>
      </c>
      <c r="N17" s="10">
        <v>4.01</v>
      </c>
      <c r="O17" s="10">
        <v>0</v>
      </c>
      <c r="P17" s="10">
        <v>17.04</v>
      </c>
      <c r="Q17" s="10">
        <v>0</v>
      </c>
      <c r="R17" s="10">
        <v>2</v>
      </c>
      <c r="S17" s="10">
        <f t="shared" si="0"/>
        <v>123.53999999999999</v>
      </c>
      <c r="T17" s="9">
        <v>46087</v>
      </c>
      <c r="U17" s="10">
        <v>123.54</v>
      </c>
      <c r="V17" s="8" t="s">
        <v>61</v>
      </c>
      <c r="W17" s="10">
        <v>12.38</v>
      </c>
      <c r="X17" s="8">
        <f t="shared" si="1"/>
        <v>1.0000000000000002</v>
      </c>
      <c r="Y17" s="11">
        <f t="shared" si="2"/>
        <v>12.380000000000004</v>
      </c>
      <c r="Z17" s="11">
        <f t="shared" si="3"/>
        <v>1.9808000000000008</v>
      </c>
    </row>
    <row r="18" spans="1:26" x14ac:dyDescent="0.25">
      <c r="A18" s="8" t="s">
        <v>29</v>
      </c>
      <c r="B18" s="8" t="s">
        <v>30</v>
      </c>
      <c r="C18" s="8" t="s">
        <v>94</v>
      </c>
      <c r="D18" s="8" t="s">
        <v>24</v>
      </c>
      <c r="E18" s="8" t="s">
        <v>95</v>
      </c>
      <c r="F18" s="9">
        <v>46090</v>
      </c>
      <c r="G18" s="9">
        <v>46090</v>
      </c>
      <c r="H18" s="9">
        <v>46415</v>
      </c>
      <c r="I18" s="8" t="s">
        <v>96</v>
      </c>
      <c r="J18" s="8" t="s">
        <v>27</v>
      </c>
      <c r="K18" s="10">
        <v>311</v>
      </c>
      <c r="L18" s="10">
        <v>0</v>
      </c>
      <c r="M18" s="10">
        <v>4.67</v>
      </c>
      <c r="N18" s="10">
        <v>8.31</v>
      </c>
      <c r="O18" s="10">
        <v>0</v>
      </c>
      <c r="P18" s="10">
        <v>52.16</v>
      </c>
      <c r="Q18" s="10">
        <v>0</v>
      </c>
      <c r="R18" s="10">
        <v>2</v>
      </c>
      <c r="S18" s="10">
        <f t="shared" si="0"/>
        <v>378.14</v>
      </c>
      <c r="T18" s="9">
        <v>46090</v>
      </c>
      <c r="U18" s="10">
        <v>378.14</v>
      </c>
      <c r="V18" s="8" t="s">
        <v>61</v>
      </c>
      <c r="W18" s="10">
        <v>38.880000000000003</v>
      </c>
      <c r="X18" s="8">
        <f t="shared" si="1"/>
        <v>1</v>
      </c>
      <c r="Y18" s="11">
        <f t="shared" si="2"/>
        <v>38.880000000000003</v>
      </c>
      <c r="Z18" s="11">
        <f t="shared" si="3"/>
        <v>6.2208000000000006</v>
      </c>
    </row>
    <row r="19" spans="1:26" x14ac:dyDescent="0.25">
      <c r="A19" s="8" t="s">
        <v>29</v>
      </c>
      <c r="B19" s="8" t="s">
        <v>30</v>
      </c>
      <c r="C19" s="8" t="s">
        <v>97</v>
      </c>
      <c r="D19" s="8" t="s">
        <v>24</v>
      </c>
      <c r="E19" s="8" t="s">
        <v>98</v>
      </c>
      <c r="F19" s="9">
        <v>46090</v>
      </c>
      <c r="G19" s="9">
        <v>46090</v>
      </c>
      <c r="H19" s="9">
        <v>46269</v>
      </c>
      <c r="I19" s="8" t="s">
        <v>99</v>
      </c>
      <c r="J19" s="8" t="s">
        <v>27</v>
      </c>
      <c r="K19" s="10">
        <v>114</v>
      </c>
      <c r="L19" s="10">
        <v>0</v>
      </c>
      <c r="M19" s="10">
        <v>1.71</v>
      </c>
      <c r="N19" s="10">
        <v>4.3099999999999996</v>
      </c>
      <c r="O19" s="10">
        <v>0</v>
      </c>
      <c r="P19" s="10">
        <v>19.52</v>
      </c>
      <c r="Q19" s="10">
        <v>0</v>
      </c>
      <c r="R19" s="10">
        <v>2</v>
      </c>
      <c r="S19" s="10">
        <f t="shared" si="0"/>
        <v>141.54</v>
      </c>
      <c r="T19" s="9">
        <v>46090</v>
      </c>
      <c r="U19" s="10">
        <v>141.54</v>
      </c>
      <c r="V19" s="8" t="s">
        <v>61</v>
      </c>
      <c r="W19" s="10">
        <v>14.25</v>
      </c>
      <c r="X19" s="8">
        <f t="shared" si="1"/>
        <v>1</v>
      </c>
      <c r="Y19" s="11">
        <f t="shared" si="2"/>
        <v>14.25</v>
      </c>
      <c r="Z19" s="11">
        <f t="shared" si="3"/>
        <v>2.2800000000000002</v>
      </c>
    </row>
    <row r="20" spans="1:26" x14ac:dyDescent="0.25">
      <c r="A20" s="8" t="s">
        <v>29</v>
      </c>
      <c r="B20" s="8" t="s">
        <v>30</v>
      </c>
      <c r="C20" s="8" t="s">
        <v>101</v>
      </c>
      <c r="D20" s="8" t="s">
        <v>24</v>
      </c>
      <c r="E20" s="8" t="s">
        <v>102</v>
      </c>
      <c r="F20" s="9">
        <v>46090</v>
      </c>
      <c r="G20" s="9">
        <v>46090</v>
      </c>
      <c r="H20" s="9">
        <v>46454</v>
      </c>
      <c r="I20" s="8" t="s">
        <v>100</v>
      </c>
      <c r="J20" s="8" t="s">
        <v>27</v>
      </c>
      <c r="K20" s="10">
        <v>279</v>
      </c>
      <c r="L20" s="10">
        <v>0</v>
      </c>
      <c r="M20" s="10">
        <v>4.18</v>
      </c>
      <c r="N20" s="10">
        <v>7.66</v>
      </c>
      <c r="O20" s="10">
        <v>0</v>
      </c>
      <c r="P20" s="10">
        <v>46.85</v>
      </c>
      <c r="Q20" s="10">
        <v>0</v>
      </c>
      <c r="R20" s="10">
        <v>2</v>
      </c>
      <c r="S20" s="10">
        <f t="shared" ref="S20:S53" si="4">SUM(K20:R20)</f>
        <v>339.69000000000005</v>
      </c>
      <c r="T20" s="9">
        <v>46090</v>
      </c>
      <c r="U20" s="10">
        <v>339.69</v>
      </c>
      <c r="V20" s="8" t="s">
        <v>61</v>
      </c>
      <c r="W20" s="10">
        <v>34.880000000000003</v>
      </c>
      <c r="X20" s="8">
        <f t="shared" ref="X20:X53" si="5">U20/S20</f>
        <v>0.99999999999999978</v>
      </c>
      <c r="Y20" s="11">
        <f t="shared" ref="Y20:Y53" si="6">X20*W20</f>
        <v>34.879999999999995</v>
      </c>
      <c r="Z20" s="11">
        <f t="shared" si="3"/>
        <v>5.5807999999999991</v>
      </c>
    </row>
    <row r="21" spans="1:26" x14ac:dyDescent="0.25">
      <c r="A21" s="8" t="s">
        <v>44</v>
      </c>
      <c r="B21" s="8" t="s">
        <v>45</v>
      </c>
      <c r="C21" s="8" t="s">
        <v>103</v>
      </c>
      <c r="D21" s="8" t="s">
        <v>24</v>
      </c>
      <c r="E21" s="8" t="s">
        <v>104</v>
      </c>
      <c r="F21" s="9">
        <v>46090</v>
      </c>
      <c r="G21" s="9">
        <v>46082</v>
      </c>
      <c r="H21" s="9">
        <v>46446</v>
      </c>
      <c r="I21" s="8" t="s">
        <v>105</v>
      </c>
      <c r="J21" s="8" t="s">
        <v>27</v>
      </c>
      <c r="K21" s="10">
        <v>80769.23</v>
      </c>
      <c r="L21" s="10">
        <v>13683.26</v>
      </c>
      <c r="M21" s="10">
        <v>413.85</v>
      </c>
      <c r="N21" s="10">
        <v>1897.33</v>
      </c>
      <c r="O21" s="10">
        <v>0</v>
      </c>
      <c r="P21" s="10">
        <v>15482.19</v>
      </c>
      <c r="Q21" s="10">
        <v>0</v>
      </c>
      <c r="R21" s="10">
        <v>0</v>
      </c>
      <c r="S21" s="10">
        <f t="shared" si="4"/>
        <v>112245.86</v>
      </c>
      <c r="T21" s="9">
        <v>46083</v>
      </c>
      <c r="U21" s="10">
        <v>112245.86</v>
      </c>
      <c r="V21" s="8" t="s">
        <v>106</v>
      </c>
      <c r="W21" s="10">
        <v>4104.9799999999996</v>
      </c>
      <c r="X21" s="8">
        <f t="shared" si="5"/>
        <v>1</v>
      </c>
      <c r="Y21" s="11">
        <f t="shared" si="6"/>
        <v>4104.9799999999996</v>
      </c>
      <c r="Z21" s="11">
        <f t="shared" si="3"/>
        <v>656.79679999999996</v>
      </c>
    </row>
    <row r="22" spans="1:26" x14ac:dyDescent="0.25">
      <c r="A22" s="8" t="s">
        <v>44</v>
      </c>
      <c r="B22" s="8" t="s">
        <v>45</v>
      </c>
      <c r="C22" s="8" t="s">
        <v>107</v>
      </c>
      <c r="D22" s="8" t="s">
        <v>24</v>
      </c>
      <c r="E22" s="8" t="s">
        <v>108</v>
      </c>
      <c r="F22" s="9">
        <v>46090</v>
      </c>
      <c r="G22" s="9">
        <v>46090</v>
      </c>
      <c r="H22" s="9">
        <v>46454</v>
      </c>
      <c r="I22" s="8" t="s">
        <v>109</v>
      </c>
      <c r="J22" s="8" t="s">
        <v>27</v>
      </c>
      <c r="K22" s="10">
        <v>45</v>
      </c>
      <c r="L22" s="10">
        <v>0</v>
      </c>
      <c r="M22" s="10">
        <v>8.2200000000000006</v>
      </c>
      <c r="N22" s="10">
        <v>1.06</v>
      </c>
      <c r="O22" s="10">
        <v>0</v>
      </c>
      <c r="P22" s="10">
        <v>20.68</v>
      </c>
      <c r="Q22" s="10">
        <v>0</v>
      </c>
      <c r="R22" s="10">
        <v>75</v>
      </c>
      <c r="S22" s="10">
        <f t="shared" si="4"/>
        <v>149.96</v>
      </c>
      <c r="T22" s="9">
        <v>46090</v>
      </c>
      <c r="U22" s="10">
        <v>149.96</v>
      </c>
      <c r="V22" s="8" t="s">
        <v>47</v>
      </c>
      <c r="W22" s="10">
        <v>6.75</v>
      </c>
      <c r="X22" s="8">
        <f t="shared" si="5"/>
        <v>1</v>
      </c>
      <c r="Y22" s="11">
        <f t="shared" si="6"/>
        <v>6.75</v>
      </c>
      <c r="Z22" s="11">
        <f t="shared" si="3"/>
        <v>1.08</v>
      </c>
    </row>
    <row r="23" spans="1:26" x14ac:dyDescent="0.25">
      <c r="A23" s="8" t="s">
        <v>44</v>
      </c>
      <c r="B23" s="8" t="s">
        <v>45</v>
      </c>
      <c r="C23" s="8" t="s">
        <v>110</v>
      </c>
      <c r="D23" s="8" t="s">
        <v>24</v>
      </c>
      <c r="E23" s="8" t="s">
        <v>111</v>
      </c>
      <c r="F23" s="9">
        <v>46090</v>
      </c>
      <c r="G23" s="9">
        <v>46090</v>
      </c>
      <c r="H23" s="9">
        <v>46454</v>
      </c>
      <c r="I23" s="8" t="s">
        <v>112</v>
      </c>
      <c r="J23" s="8" t="s">
        <v>27</v>
      </c>
      <c r="K23" s="10">
        <v>163.46</v>
      </c>
      <c r="L23" s="10">
        <v>0</v>
      </c>
      <c r="M23" s="10">
        <v>6</v>
      </c>
      <c r="N23" s="10">
        <v>3.39</v>
      </c>
      <c r="O23" s="10">
        <v>0</v>
      </c>
      <c r="P23" s="10">
        <v>31.66</v>
      </c>
      <c r="Q23" s="10">
        <v>0</v>
      </c>
      <c r="R23" s="10">
        <v>25</v>
      </c>
      <c r="S23" s="10">
        <f t="shared" si="4"/>
        <v>229.51</v>
      </c>
      <c r="T23" s="9">
        <v>46093</v>
      </c>
      <c r="U23" s="10">
        <v>229.51</v>
      </c>
      <c r="V23" s="8" t="s">
        <v>47</v>
      </c>
      <c r="W23" s="10">
        <v>24.52</v>
      </c>
      <c r="X23" s="8">
        <f t="shared" si="5"/>
        <v>1</v>
      </c>
      <c r="Y23" s="11">
        <f t="shared" si="6"/>
        <v>24.52</v>
      </c>
      <c r="Z23" s="11">
        <f t="shared" si="3"/>
        <v>3.9232</v>
      </c>
    </row>
    <row r="24" spans="1:26" x14ac:dyDescent="0.25">
      <c r="A24" s="8" t="s">
        <v>44</v>
      </c>
      <c r="B24" s="8" t="s">
        <v>45</v>
      </c>
      <c r="C24" s="8" t="s">
        <v>113</v>
      </c>
      <c r="D24" s="8" t="s">
        <v>24</v>
      </c>
      <c r="E24" s="8" t="s">
        <v>114</v>
      </c>
      <c r="F24" s="9">
        <v>46091</v>
      </c>
      <c r="G24" s="9">
        <v>46091</v>
      </c>
      <c r="H24" s="9">
        <v>46455</v>
      </c>
      <c r="I24" s="8" t="s">
        <v>109</v>
      </c>
      <c r="J24" s="8" t="s">
        <v>27</v>
      </c>
      <c r="K24" s="10">
        <v>15</v>
      </c>
      <c r="L24" s="10">
        <v>0</v>
      </c>
      <c r="M24" s="10">
        <v>2.74</v>
      </c>
      <c r="N24" s="10">
        <v>0.36</v>
      </c>
      <c r="O24" s="10">
        <v>0</v>
      </c>
      <c r="P24" s="10">
        <v>6.9</v>
      </c>
      <c r="Q24" s="10">
        <v>0</v>
      </c>
      <c r="R24" s="10">
        <v>25</v>
      </c>
      <c r="S24" s="10">
        <f t="shared" si="4"/>
        <v>50</v>
      </c>
      <c r="T24" s="9">
        <v>46091</v>
      </c>
      <c r="U24" s="10">
        <v>50</v>
      </c>
      <c r="V24" s="8" t="s">
        <v>47</v>
      </c>
      <c r="W24" s="10">
        <v>2.25</v>
      </c>
      <c r="X24" s="8">
        <f t="shared" si="5"/>
        <v>1</v>
      </c>
      <c r="Y24" s="11">
        <f t="shared" si="6"/>
        <v>2.25</v>
      </c>
      <c r="Z24" s="11">
        <f t="shared" si="3"/>
        <v>0.36</v>
      </c>
    </row>
    <row r="25" spans="1:26" x14ac:dyDescent="0.25">
      <c r="A25" s="8" t="s">
        <v>62</v>
      </c>
      <c r="B25" s="8" t="s">
        <v>62</v>
      </c>
      <c r="C25" s="8" t="s">
        <v>115</v>
      </c>
      <c r="D25" s="8" t="s">
        <v>63</v>
      </c>
      <c r="E25" s="8" t="s">
        <v>116</v>
      </c>
      <c r="F25" s="9">
        <v>46093</v>
      </c>
      <c r="G25" s="9">
        <v>46090</v>
      </c>
      <c r="H25" s="9">
        <v>46454</v>
      </c>
      <c r="I25" s="8" t="s">
        <v>85</v>
      </c>
      <c r="J25" s="8" t="s">
        <v>27</v>
      </c>
      <c r="K25" s="10">
        <v>25253.95</v>
      </c>
      <c r="L25" s="10">
        <v>0</v>
      </c>
      <c r="M25" s="10">
        <v>380.63</v>
      </c>
      <c r="N25" s="10">
        <v>519.30999999999995</v>
      </c>
      <c r="O25" s="10">
        <v>0</v>
      </c>
      <c r="P25" s="10">
        <v>4226.22</v>
      </c>
      <c r="Q25" s="10">
        <v>0</v>
      </c>
      <c r="R25" s="10">
        <v>259.98</v>
      </c>
      <c r="S25" s="10">
        <f t="shared" si="4"/>
        <v>30640.090000000004</v>
      </c>
      <c r="T25" s="9">
        <v>46090</v>
      </c>
      <c r="U25" s="10">
        <v>30640.09</v>
      </c>
      <c r="V25" s="8" t="s">
        <v>117</v>
      </c>
      <c r="W25" s="10">
        <v>4040.63</v>
      </c>
      <c r="X25" s="8">
        <f t="shared" si="5"/>
        <v>0.99999999999999989</v>
      </c>
      <c r="Y25" s="11">
        <f t="shared" si="6"/>
        <v>4040.6299999999997</v>
      </c>
      <c r="Z25" s="11">
        <f t="shared" si="3"/>
        <v>646.50079999999991</v>
      </c>
    </row>
    <row r="26" spans="1:26" x14ac:dyDescent="0.25">
      <c r="A26" s="8" t="s">
        <v>118</v>
      </c>
      <c r="B26" s="8" t="s">
        <v>119</v>
      </c>
      <c r="C26" s="8" t="s">
        <v>120</v>
      </c>
      <c r="D26" s="8" t="s">
        <v>121</v>
      </c>
      <c r="E26" s="8" t="s">
        <v>122</v>
      </c>
      <c r="F26" s="9">
        <v>46094</v>
      </c>
      <c r="G26" s="9">
        <v>46023</v>
      </c>
      <c r="H26" s="9">
        <v>46387</v>
      </c>
      <c r="I26" s="8" t="s">
        <v>123</v>
      </c>
      <c r="J26" s="8" t="s">
        <v>27</v>
      </c>
      <c r="K26" s="10">
        <v>329132.58</v>
      </c>
      <c r="L26" s="10">
        <v>43561.67</v>
      </c>
      <c r="M26" s="10">
        <v>1655.66</v>
      </c>
      <c r="N26" s="10">
        <v>7487</v>
      </c>
      <c r="O26" s="10">
        <v>0</v>
      </c>
      <c r="P26" s="10">
        <v>61093.91</v>
      </c>
      <c r="Q26" s="10">
        <v>0</v>
      </c>
      <c r="R26" s="10">
        <v>0</v>
      </c>
      <c r="S26" s="10">
        <f t="shared" si="4"/>
        <v>442930.81999999995</v>
      </c>
      <c r="T26" s="9">
        <v>46091</v>
      </c>
      <c r="U26" s="10">
        <v>442930.82</v>
      </c>
      <c r="V26" s="8" t="s">
        <v>124</v>
      </c>
      <c r="W26" s="10">
        <v>16752.849999999999</v>
      </c>
      <c r="X26" s="8">
        <f t="shared" si="5"/>
        <v>1.0000000000000002</v>
      </c>
      <c r="Y26" s="11">
        <f t="shared" si="6"/>
        <v>16752.850000000002</v>
      </c>
      <c r="Z26" s="11">
        <f t="shared" si="3"/>
        <v>2680.4560000000006</v>
      </c>
    </row>
    <row r="27" spans="1:26" x14ac:dyDescent="0.25">
      <c r="A27" s="8" t="s">
        <v>44</v>
      </c>
      <c r="B27" s="8" t="s">
        <v>45</v>
      </c>
      <c r="C27" s="8" t="s">
        <v>125</v>
      </c>
      <c r="D27" s="8" t="s">
        <v>24</v>
      </c>
      <c r="E27" s="8" t="s">
        <v>126</v>
      </c>
      <c r="F27" s="9">
        <v>46094</v>
      </c>
      <c r="G27" s="9">
        <v>46094</v>
      </c>
      <c r="H27" s="9">
        <v>46458</v>
      </c>
      <c r="I27" s="8" t="s">
        <v>46</v>
      </c>
      <c r="J27" s="8" t="s">
        <v>27</v>
      </c>
      <c r="K27" s="10">
        <v>78.8</v>
      </c>
      <c r="L27" s="10">
        <v>0</v>
      </c>
      <c r="M27" s="10">
        <v>6</v>
      </c>
      <c r="N27" s="10">
        <v>1.7</v>
      </c>
      <c r="O27" s="10">
        <v>0</v>
      </c>
      <c r="P27" s="10">
        <v>0</v>
      </c>
      <c r="Q27" s="10">
        <v>0</v>
      </c>
      <c r="R27" s="10">
        <v>5</v>
      </c>
      <c r="S27" s="10">
        <f t="shared" si="4"/>
        <v>91.5</v>
      </c>
      <c r="T27" s="9">
        <v>46094</v>
      </c>
      <c r="U27" s="10">
        <v>91.5</v>
      </c>
      <c r="V27" s="8" t="s">
        <v>47</v>
      </c>
      <c r="W27" s="10">
        <v>11.82</v>
      </c>
      <c r="X27" s="8">
        <f t="shared" si="5"/>
        <v>1</v>
      </c>
      <c r="Y27" s="11">
        <f t="shared" si="6"/>
        <v>11.82</v>
      </c>
      <c r="Z27" s="11">
        <f t="shared" si="3"/>
        <v>1.8912</v>
      </c>
    </row>
    <row r="28" spans="1:26" x14ac:dyDescent="0.25">
      <c r="A28" s="8" t="s">
        <v>44</v>
      </c>
      <c r="B28" s="8" t="s">
        <v>45</v>
      </c>
      <c r="C28" s="8" t="s">
        <v>127</v>
      </c>
      <c r="D28" s="8" t="s">
        <v>24</v>
      </c>
      <c r="E28" s="8" t="s">
        <v>128</v>
      </c>
      <c r="F28" s="9">
        <v>46094</v>
      </c>
      <c r="G28" s="9">
        <v>46094</v>
      </c>
      <c r="H28" s="9">
        <v>46458</v>
      </c>
      <c r="I28" s="8" t="s">
        <v>46</v>
      </c>
      <c r="J28" s="8" t="s">
        <v>27</v>
      </c>
      <c r="K28" s="10">
        <v>15</v>
      </c>
      <c r="L28" s="10">
        <v>0</v>
      </c>
      <c r="M28" s="10">
        <v>6</v>
      </c>
      <c r="N28" s="10">
        <v>0.42</v>
      </c>
      <c r="O28" s="10">
        <v>0</v>
      </c>
      <c r="P28" s="10">
        <v>0</v>
      </c>
      <c r="Q28" s="10">
        <v>0</v>
      </c>
      <c r="R28" s="10">
        <v>5</v>
      </c>
      <c r="S28" s="10">
        <f t="shared" si="4"/>
        <v>26.42</v>
      </c>
      <c r="T28" s="9">
        <v>46094</v>
      </c>
      <c r="U28" s="10">
        <v>26.42</v>
      </c>
      <c r="V28" s="8" t="s">
        <v>47</v>
      </c>
      <c r="W28" s="10">
        <v>2.25</v>
      </c>
      <c r="X28" s="8">
        <f t="shared" si="5"/>
        <v>1</v>
      </c>
      <c r="Y28" s="11">
        <f t="shared" si="6"/>
        <v>2.25</v>
      </c>
      <c r="Z28" s="11">
        <f t="shared" si="3"/>
        <v>0.36</v>
      </c>
    </row>
    <row r="29" spans="1:26" x14ac:dyDescent="0.25">
      <c r="A29" s="8" t="s">
        <v>44</v>
      </c>
      <c r="B29" s="8" t="s">
        <v>45</v>
      </c>
      <c r="C29" s="8" t="s">
        <v>129</v>
      </c>
      <c r="D29" s="8" t="s">
        <v>24</v>
      </c>
      <c r="E29" s="8" t="s">
        <v>130</v>
      </c>
      <c r="F29" s="9">
        <v>46094</v>
      </c>
      <c r="G29" s="9">
        <v>46094</v>
      </c>
      <c r="H29" s="9">
        <v>46458</v>
      </c>
      <c r="I29" s="8" t="s">
        <v>46</v>
      </c>
      <c r="J29" s="8" t="s">
        <v>27</v>
      </c>
      <c r="K29" s="10">
        <v>15</v>
      </c>
      <c r="L29" s="10">
        <v>0</v>
      </c>
      <c r="M29" s="10">
        <v>2.74</v>
      </c>
      <c r="N29" s="10">
        <v>0.36</v>
      </c>
      <c r="O29" s="10">
        <v>0</v>
      </c>
      <c r="P29" s="10">
        <v>0</v>
      </c>
      <c r="Q29" s="10">
        <v>0</v>
      </c>
      <c r="R29" s="10">
        <v>5</v>
      </c>
      <c r="S29" s="10">
        <f t="shared" si="4"/>
        <v>23.1</v>
      </c>
      <c r="T29" s="9">
        <v>46094</v>
      </c>
      <c r="U29" s="10">
        <v>23.1</v>
      </c>
      <c r="V29" s="8" t="s">
        <v>47</v>
      </c>
      <c r="W29" s="10">
        <v>2.25</v>
      </c>
      <c r="X29" s="8">
        <f t="shared" si="5"/>
        <v>1</v>
      </c>
      <c r="Y29" s="11">
        <f t="shared" si="6"/>
        <v>2.25</v>
      </c>
      <c r="Z29" s="11">
        <f t="shared" si="3"/>
        <v>0.36</v>
      </c>
    </row>
    <row r="30" spans="1:26" x14ac:dyDescent="0.25">
      <c r="A30" s="8" t="s">
        <v>44</v>
      </c>
      <c r="B30" s="8" t="s">
        <v>45</v>
      </c>
      <c r="C30" s="8" t="s">
        <v>131</v>
      </c>
      <c r="D30" s="8" t="s">
        <v>24</v>
      </c>
      <c r="E30" s="8" t="s">
        <v>132</v>
      </c>
      <c r="F30" s="9">
        <v>46094</v>
      </c>
      <c r="G30" s="9">
        <v>46064</v>
      </c>
      <c r="H30" s="9">
        <v>46428</v>
      </c>
      <c r="I30" s="8" t="s">
        <v>80</v>
      </c>
      <c r="J30" s="8" t="s">
        <v>27</v>
      </c>
      <c r="K30" s="10">
        <v>166.99</v>
      </c>
      <c r="L30" s="10">
        <v>0</v>
      </c>
      <c r="M30" s="10">
        <v>6</v>
      </c>
      <c r="N30" s="10">
        <v>3.46</v>
      </c>
      <c r="O30" s="10">
        <v>0</v>
      </c>
      <c r="P30" s="10">
        <v>32.229999999999997</v>
      </c>
      <c r="Q30" s="10">
        <v>0</v>
      </c>
      <c r="R30" s="10">
        <v>25</v>
      </c>
      <c r="S30" s="10">
        <f t="shared" si="4"/>
        <v>233.68</v>
      </c>
      <c r="T30" s="9">
        <v>46107</v>
      </c>
      <c r="U30" s="10">
        <v>233.68</v>
      </c>
      <c r="V30" s="8" t="s">
        <v>47</v>
      </c>
      <c r="W30" s="10">
        <v>25.05</v>
      </c>
      <c r="X30" s="8">
        <f t="shared" si="5"/>
        <v>1</v>
      </c>
      <c r="Y30" s="11">
        <f t="shared" si="6"/>
        <v>25.05</v>
      </c>
      <c r="Z30" s="11">
        <f t="shared" si="3"/>
        <v>4.008</v>
      </c>
    </row>
    <row r="31" spans="1:26" x14ac:dyDescent="0.25">
      <c r="A31" s="8" t="s">
        <v>44</v>
      </c>
      <c r="B31" s="8" t="s">
        <v>45</v>
      </c>
      <c r="C31" s="8" t="s">
        <v>133</v>
      </c>
      <c r="D31" s="8" t="s">
        <v>24</v>
      </c>
      <c r="E31" s="8" t="s">
        <v>134</v>
      </c>
      <c r="F31" s="9">
        <v>46098</v>
      </c>
      <c r="G31" s="9">
        <v>46094</v>
      </c>
      <c r="H31" s="9">
        <v>46458</v>
      </c>
      <c r="I31" s="8" t="s">
        <v>46</v>
      </c>
      <c r="J31" s="8" t="s">
        <v>27</v>
      </c>
      <c r="K31" s="10">
        <v>15</v>
      </c>
      <c r="L31" s="10">
        <v>0</v>
      </c>
      <c r="M31" s="10">
        <v>2.74</v>
      </c>
      <c r="N31" s="10">
        <v>0.35</v>
      </c>
      <c r="O31" s="10">
        <v>0</v>
      </c>
      <c r="P31" s="10">
        <v>3.69</v>
      </c>
      <c r="Q31" s="10">
        <v>0</v>
      </c>
      <c r="R31" s="10">
        <v>5</v>
      </c>
      <c r="S31" s="10">
        <f t="shared" si="4"/>
        <v>26.780000000000005</v>
      </c>
      <c r="T31" s="9">
        <v>46094</v>
      </c>
      <c r="U31" s="10">
        <v>26.78</v>
      </c>
      <c r="V31" s="8" t="s">
        <v>47</v>
      </c>
      <c r="W31" s="10">
        <v>2.25</v>
      </c>
      <c r="X31" s="8">
        <f t="shared" si="5"/>
        <v>0.99999999999999989</v>
      </c>
      <c r="Y31" s="11">
        <f t="shared" si="6"/>
        <v>2.2499999999999996</v>
      </c>
      <c r="Z31" s="11">
        <f t="shared" si="3"/>
        <v>0.35999999999999993</v>
      </c>
    </row>
    <row r="32" spans="1:26" x14ac:dyDescent="0.25">
      <c r="A32" s="8" t="s">
        <v>44</v>
      </c>
      <c r="B32" s="8" t="s">
        <v>45</v>
      </c>
      <c r="C32" s="8" t="s">
        <v>135</v>
      </c>
      <c r="D32" s="8" t="s">
        <v>24</v>
      </c>
      <c r="E32" s="8" t="s">
        <v>136</v>
      </c>
      <c r="F32" s="9">
        <v>46098</v>
      </c>
      <c r="G32" s="9">
        <v>46094</v>
      </c>
      <c r="H32" s="9">
        <v>46458</v>
      </c>
      <c r="I32" s="8" t="s">
        <v>46</v>
      </c>
      <c r="J32" s="8" t="s">
        <v>27</v>
      </c>
      <c r="K32" s="10">
        <v>128.94</v>
      </c>
      <c r="L32" s="10">
        <v>0</v>
      </c>
      <c r="M32" s="10">
        <v>6</v>
      </c>
      <c r="N32" s="10">
        <v>2.7</v>
      </c>
      <c r="O32" s="10">
        <v>0</v>
      </c>
      <c r="P32" s="10">
        <v>22.82</v>
      </c>
      <c r="Q32" s="10">
        <v>0</v>
      </c>
      <c r="R32" s="10">
        <v>5</v>
      </c>
      <c r="S32" s="10">
        <f t="shared" si="4"/>
        <v>165.45999999999998</v>
      </c>
      <c r="T32" s="9">
        <v>46094</v>
      </c>
      <c r="U32" s="10">
        <v>165.46</v>
      </c>
      <c r="V32" s="8" t="s">
        <v>47</v>
      </c>
      <c r="W32" s="10">
        <v>19.34</v>
      </c>
      <c r="X32" s="8">
        <f t="shared" si="5"/>
        <v>1.0000000000000002</v>
      </c>
      <c r="Y32" s="11">
        <f t="shared" si="6"/>
        <v>19.340000000000003</v>
      </c>
      <c r="Z32" s="11">
        <f t="shared" si="3"/>
        <v>3.0944000000000007</v>
      </c>
    </row>
    <row r="33" spans="1:26" x14ac:dyDescent="0.25">
      <c r="A33" s="8" t="s">
        <v>44</v>
      </c>
      <c r="B33" s="8" t="s">
        <v>45</v>
      </c>
      <c r="C33" s="8" t="s">
        <v>137</v>
      </c>
      <c r="D33" s="8" t="s">
        <v>24</v>
      </c>
      <c r="E33" s="8" t="s">
        <v>138</v>
      </c>
      <c r="F33" s="9">
        <v>46098</v>
      </c>
      <c r="G33" s="9">
        <v>46094</v>
      </c>
      <c r="H33" s="9">
        <v>46458</v>
      </c>
      <c r="I33" s="8" t="s">
        <v>46</v>
      </c>
      <c r="J33" s="8" t="s">
        <v>27</v>
      </c>
      <c r="K33" s="10">
        <v>15</v>
      </c>
      <c r="L33" s="10">
        <v>0</v>
      </c>
      <c r="M33" s="10">
        <v>2.74</v>
      </c>
      <c r="N33" s="10">
        <v>0.35</v>
      </c>
      <c r="O33" s="10">
        <v>0</v>
      </c>
      <c r="P33" s="10">
        <v>3.69</v>
      </c>
      <c r="Q33" s="10">
        <v>0</v>
      </c>
      <c r="R33" s="10">
        <v>5</v>
      </c>
      <c r="S33" s="10">
        <f t="shared" si="4"/>
        <v>26.780000000000005</v>
      </c>
      <c r="T33" s="9">
        <v>46094</v>
      </c>
      <c r="U33" s="10">
        <v>26.78</v>
      </c>
      <c r="V33" s="8" t="s">
        <v>47</v>
      </c>
      <c r="W33" s="10">
        <v>2.25</v>
      </c>
      <c r="X33" s="8">
        <f t="shared" si="5"/>
        <v>0.99999999999999989</v>
      </c>
      <c r="Y33" s="11">
        <f t="shared" si="6"/>
        <v>2.2499999999999996</v>
      </c>
      <c r="Z33" s="11">
        <f t="shared" si="3"/>
        <v>0.35999999999999993</v>
      </c>
    </row>
    <row r="34" spans="1:26" x14ac:dyDescent="0.25">
      <c r="A34" s="8" t="s">
        <v>44</v>
      </c>
      <c r="B34" s="8" t="s">
        <v>45</v>
      </c>
      <c r="C34" s="8" t="s">
        <v>139</v>
      </c>
      <c r="D34" s="8" t="s">
        <v>24</v>
      </c>
      <c r="E34" s="8" t="s">
        <v>140</v>
      </c>
      <c r="F34" s="9">
        <v>46098</v>
      </c>
      <c r="G34" s="9">
        <v>46098</v>
      </c>
      <c r="H34" s="9">
        <v>46462</v>
      </c>
      <c r="I34" s="8" t="s">
        <v>109</v>
      </c>
      <c r="J34" s="8" t="s">
        <v>27</v>
      </c>
      <c r="K34" s="10">
        <v>68.41</v>
      </c>
      <c r="L34" s="10">
        <v>0</v>
      </c>
      <c r="M34" s="10">
        <v>6</v>
      </c>
      <c r="N34" s="10">
        <v>1.49</v>
      </c>
      <c r="O34" s="10">
        <v>0</v>
      </c>
      <c r="P34" s="10">
        <v>16.14</v>
      </c>
      <c r="Q34" s="10">
        <v>0</v>
      </c>
      <c r="R34" s="10">
        <v>25</v>
      </c>
      <c r="S34" s="10">
        <f t="shared" si="4"/>
        <v>117.03999999999999</v>
      </c>
      <c r="T34" s="9">
        <v>46098</v>
      </c>
      <c r="U34" s="10">
        <v>117.04</v>
      </c>
      <c r="V34" s="8" t="s">
        <v>47</v>
      </c>
      <c r="W34" s="10">
        <v>10.26</v>
      </c>
      <c r="X34" s="8">
        <f t="shared" si="5"/>
        <v>1.0000000000000002</v>
      </c>
      <c r="Y34" s="11">
        <f t="shared" si="6"/>
        <v>10.260000000000002</v>
      </c>
      <c r="Z34" s="11">
        <f t="shared" si="3"/>
        <v>1.6416000000000004</v>
      </c>
    </row>
    <row r="35" spans="1:26" x14ac:dyDescent="0.25">
      <c r="A35" s="8" t="s">
        <v>141</v>
      </c>
      <c r="B35" s="8" t="s">
        <v>141</v>
      </c>
      <c r="C35" s="8" t="s">
        <v>142</v>
      </c>
      <c r="D35" s="8" t="s">
        <v>63</v>
      </c>
      <c r="E35" s="8" t="s">
        <v>143</v>
      </c>
      <c r="F35" s="9">
        <v>46098</v>
      </c>
      <c r="G35" s="9">
        <v>46081</v>
      </c>
      <c r="H35" s="9">
        <v>46445</v>
      </c>
      <c r="I35" s="8" t="s">
        <v>144</v>
      </c>
      <c r="J35" s="8" t="s">
        <v>27</v>
      </c>
      <c r="K35" s="10">
        <v>59000.04</v>
      </c>
      <c r="L35" s="10">
        <v>10411.76</v>
      </c>
      <c r="M35" s="10">
        <v>305</v>
      </c>
      <c r="N35" s="10">
        <v>1394.34</v>
      </c>
      <c r="O35" s="10">
        <v>0</v>
      </c>
      <c r="P35" s="10">
        <v>11377.78</v>
      </c>
      <c r="Q35" s="10">
        <v>0</v>
      </c>
      <c r="R35" s="10">
        <v>0</v>
      </c>
      <c r="S35" s="10">
        <f t="shared" si="4"/>
        <v>82488.92</v>
      </c>
      <c r="T35" s="9">
        <v>46097</v>
      </c>
      <c r="U35" s="10">
        <v>82488.92</v>
      </c>
      <c r="V35" s="8" t="s">
        <v>48</v>
      </c>
      <c r="W35" s="10">
        <v>10325.01</v>
      </c>
      <c r="X35" s="8">
        <f t="shared" si="5"/>
        <v>1</v>
      </c>
      <c r="Y35" s="11">
        <f t="shared" si="6"/>
        <v>10325.01</v>
      </c>
      <c r="Z35" s="11">
        <f t="shared" si="3"/>
        <v>1652.0016000000001</v>
      </c>
    </row>
    <row r="36" spans="1:26" x14ac:dyDescent="0.25">
      <c r="A36" s="8" t="s">
        <v>29</v>
      </c>
      <c r="B36" s="8" t="s">
        <v>30</v>
      </c>
      <c r="C36" s="8" t="s">
        <v>145</v>
      </c>
      <c r="D36" s="8" t="s">
        <v>24</v>
      </c>
      <c r="E36" s="8" t="s">
        <v>146</v>
      </c>
      <c r="F36" s="9">
        <v>46099</v>
      </c>
      <c r="G36" s="9">
        <v>46099</v>
      </c>
      <c r="H36" s="9">
        <v>46463</v>
      </c>
      <c r="I36" s="8" t="s">
        <v>147</v>
      </c>
      <c r="J36" s="8" t="s">
        <v>27</v>
      </c>
      <c r="K36" s="10">
        <v>165</v>
      </c>
      <c r="L36" s="10">
        <v>0</v>
      </c>
      <c r="M36" s="10">
        <v>2.48</v>
      </c>
      <c r="N36" s="10">
        <v>5.35</v>
      </c>
      <c r="O36" s="10">
        <v>0</v>
      </c>
      <c r="P36" s="10">
        <v>27.97</v>
      </c>
      <c r="Q36" s="10">
        <v>0</v>
      </c>
      <c r="R36" s="10">
        <v>2</v>
      </c>
      <c r="S36" s="10">
        <f t="shared" si="4"/>
        <v>202.79999999999998</v>
      </c>
      <c r="T36" s="9">
        <v>46098</v>
      </c>
      <c r="U36" s="10">
        <v>202.8</v>
      </c>
      <c r="V36" s="8" t="s">
        <v>61</v>
      </c>
      <c r="W36" s="10">
        <v>20.62</v>
      </c>
      <c r="X36" s="8">
        <f t="shared" si="5"/>
        <v>1.0000000000000002</v>
      </c>
      <c r="Y36" s="11">
        <f t="shared" si="6"/>
        <v>20.620000000000005</v>
      </c>
      <c r="Z36" s="11">
        <f t="shared" si="3"/>
        <v>3.2992000000000008</v>
      </c>
    </row>
    <row r="37" spans="1:26" x14ac:dyDescent="0.25">
      <c r="A37" s="8" t="s">
        <v>44</v>
      </c>
      <c r="B37" s="8" t="s">
        <v>45</v>
      </c>
      <c r="C37" s="8" t="s">
        <v>148</v>
      </c>
      <c r="D37" s="8" t="s">
        <v>24</v>
      </c>
      <c r="E37" s="8" t="s">
        <v>149</v>
      </c>
      <c r="F37" s="9">
        <v>46101</v>
      </c>
      <c r="G37" s="9">
        <v>46104</v>
      </c>
      <c r="H37" s="9">
        <v>46468</v>
      </c>
      <c r="I37" s="8" t="s">
        <v>150</v>
      </c>
      <c r="J37" s="8" t="s">
        <v>27</v>
      </c>
      <c r="K37" s="10">
        <v>8800</v>
      </c>
      <c r="L37" s="10">
        <v>0</v>
      </c>
      <c r="M37" s="10">
        <v>334.4</v>
      </c>
      <c r="N37" s="10">
        <v>0</v>
      </c>
      <c r="O37" s="10">
        <v>0</v>
      </c>
      <c r="P37" s="10">
        <v>1461.5</v>
      </c>
      <c r="Q37" s="10">
        <v>0</v>
      </c>
      <c r="R37" s="10">
        <v>0</v>
      </c>
      <c r="S37" s="10">
        <f t="shared" si="4"/>
        <v>10595.9</v>
      </c>
      <c r="T37" s="9">
        <v>46100</v>
      </c>
      <c r="U37" s="10">
        <v>10595.9</v>
      </c>
      <c r="V37" s="8" t="s">
        <v>47</v>
      </c>
      <c r="W37" s="10">
        <v>1320</v>
      </c>
      <c r="X37" s="8">
        <f t="shared" si="5"/>
        <v>1</v>
      </c>
      <c r="Y37" s="11">
        <f t="shared" si="6"/>
        <v>1320</v>
      </c>
      <c r="Z37" s="11">
        <f t="shared" si="3"/>
        <v>211.20000000000002</v>
      </c>
    </row>
    <row r="38" spans="1:26" x14ac:dyDescent="0.25">
      <c r="A38" s="8" t="s">
        <v>29</v>
      </c>
      <c r="B38" s="8" t="s">
        <v>30</v>
      </c>
      <c r="C38" s="8" t="s">
        <v>151</v>
      </c>
      <c r="D38" s="8" t="s">
        <v>24</v>
      </c>
      <c r="E38" s="8" t="s">
        <v>152</v>
      </c>
      <c r="F38" s="9">
        <v>46101</v>
      </c>
      <c r="G38" s="9">
        <v>46104</v>
      </c>
      <c r="H38" s="9">
        <v>46468</v>
      </c>
      <c r="I38" s="8" t="s">
        <v>153</v>
      </c>
      <c r="J38" s="8" t="s">
        <v>27</v>
      </c>
      <c r="K38" s="10">
        <v>2003.3</v>
      </c>
      <c r="L38" s="10">
        <v>0</v>
      </c>
      <c r="M38" s="10">
        <v>30.01</v>
      </c>
      <c r="N38" s="10">
        <v>82.71</v>
      </c>
      <c r="O38" s="10">
        <v>0</v>
      </c>
      <c r="P38" s="10">
        <v>346.56</v>
      </c>
      <c r="Q38" s="10">
        <v>0</v>
      </c>
      <c r="R38" s="10">
        <v>50</v>
      </c>
      <c r="S38" s="10">
        <f t="shared" si="4"/>
        <v>2512.58</v>
      </c>
      <c r="T38" s="9">
        <v>46104</v>
      </c>
      <c r="U38" s="10">
        <v>2512.58</v>
      </c>
      <c r="V38" s="8" t="s">
        <v>35</v>
      </c>
      <c r="W38" s="10">
        <v>220.36</v>
      </c>
      <c r="X38" s="8">
        <f t="shared" si="5"/>
        <v>1</v>
      </c>
      <c r="Y38" s="11">
        <f t="shared" si="6"/>
        <v>220.36</v>
      </c>
      <c r="Z38" s="11">
        <f t="shared" si="3"/>
        <v>35.257600000000004</v>
      </c>
    </row>
    <row r="39" spans="1:26" x14ac:dyDescent="0.25">
      <c r="A39" s="8" t="s">
        <v>29</v>
      </c>
      <c r="B39" s="8" t="s">
        <v>30</v>
      </c>
      <c r="C39" s="8" t="s">
        <v>154</v>
      </c>
      <c r="D39" s="8" t="s">
        <v>24</v>
      </c>
      <c r="E39" s="8" t="s">
        <v>155</v>
      </c>
      <c r="F39" s="9">
        <v>46101</v>
      </c>
      <c r="G39" s="9">
        <v>46104</v>
      </c>
      <c r="H39" s="9">
        <v>46468</v>
      </c>
      <c r="I39" s="8" t="s">
        <v>150</v>
      </c>
      <c r="J39" s="8" t="s">
        <v>27</v>
      </c>
      <c r="K39" s="10">
        <v>18510.97</v>
      </c>
      <c r="L39" s="10">
        <v>0</v>
      </c>
      <c r="M39" s="10">
        <v>277.2</v>
      </c>
      <c r="N39" s="10">
        <v>604.14</v>
      </c>
      <c r="O39" s="10">
        <v>0</v>
      </c>
      <c r="P39" s="10">
        <v>3163.57</v>
      </c>
      <c r="Q39" s="10">
        <v>0</v>
      </c>
      <c r="R39" s="10">
        <v>380</v>
      </c>
      <c r="S39" s="10">
        <f t="shared" si="4"/>
        <v>22935.88</v>
      </c>
      <c r="T39" s="9">
        <v>46100</v>
      </c>
      <c r="U39" s="10">
        <v>22935.88</v>
      </c>
      <c r="V39" s="8" t="s">
        <v>35</v>
      </c>
      <c r="W39" s="10">
        <v>2036.21</v>
      </c>
      <c r="X39" s="8">
        <f t="shared" si="5"/>
        <v>1</v>
      </c>
      <c r="Y39" s="11">
        <f t="shared" si="6"/>
        <v>2036.21</v>
      </c>
      <c r="Z39" s="11">
        <f t="shared" si="3"/>
        <v>325.79360000000003</v>
      </c>
    </row>
    <row r="40" spans="1:26" x14ac:dyDescent="0.25">
      <c r="A40" s="8" t="s">
        <v>29</v>
      </c>
      <c r="B40" s="8" t="s">
        <v>30</v>
      </c>
      <c r="C40" s="8" t="s">
        <v>156</v>
      </c>
      <c r="D40" s="8" t="s">
        <v>24</v>
      </c>
      <c r="E40" s="8" t="s">
        <v>157</v>
      </c>
      <c r="F40" s="9">
        <v>46104</v>
      </c>
      <c r="G40" s="9">
        <v>46104</v>
      </c>
      <c r="H40" s="9">
        <v>46468</v>
      </c>
      <c r="I40" s="8" t="s">
        <v>158</v>
      </c>
      <c r="J40" s="8" t="s">
        <v>27</v>
      </c>
      <c r="K40" s="10">
        <v>165</v>
      </c>
      <c r="L40" s="10">
        <v>0</v>
      </c>
      <c r="M40" s="10">
        <v>2.48</v>
      </c>
      <c r="N40" s="10">
        <v>5.35</v>
      </c>
      <c r="O40" s="10">
        <v>0</v>
      </c>
      <c r="P40" s="10">
        <v>27.97</v>
      </c>
      <c r="Q40" s="10">
        <v>0</v>
      </c>
      <c r="R40" s="10">
        <v>2</v>
      </c>
      <c r="S40" s="10">
        <f t="shared" si="4"/>
        <v>202.79999999999998</v>
      </c>
      <c r="T40" s="9">
        <v>46104</v>
      </c>
      <c r="U40" s="10">
        <v>202.8</v>
      </c>
      <c r="V40" s="8" t="s">
        <v>61</v>
      </c>
      <c r="W40" s="10">
        <v>20.62</v>
      </c>
      <c r="X40" s="8">
        <f t="shared" si="5"/>
        <v>1.0000000000000002</v>
      </c>
      <c r="Y40" s="11">
        <f t="shared" si="6"/>
        <v>20.620000000000005</v>
      </c>
      <c r="Z40" s="11">
        <f t="shared" si="3"/>
        <v>3.2992000000000008</v>
      </c>
    </row>
    <row r="41" spans="1:26" x14ac:dyDescent="0.25">
      <c r="A41" s="8" t="s">
        <v>62</v>
      </c>
      <c r="B41" s="8" t="s">
        <v>62</v>
      </c>
      <c r="C41" s="8" t="s">
        <v>159</v>
      </c>
      <c r="D41" s="8" t="s">
        <v>32</v>
      </c>
      <c r="E41" s="8" t="s">
        <v>160</v>
      </c>
      <c r="F41" s="9">
        <v>46104</v>
      </c>
      <c r="G41" s="9">
        <v>46109</v>
      </c>
      <c r="H41" s="9">
        <v>46473</v>
      </c>
      <c r="I41" s="8" t="s">
        <v>150</v>
      </c>
      <c r="J41" s="8" t="s">
        <v>27</v>
      </c>
      <c r="K41" s="10">
        <v>3110.21</v>
      </c>
      <c r="L41" s="10">
        <v>0</v>
      </c>
      <c r="M41" s="10">
        <v>11.11</v>
      </c>
      <c r="N41" s="10">
        <v>62.43</v>
      </c>
      <c r="O41" s="10">
        <v>0</v>
      </c>
      <c r="P41" s="10">
        <v>514.38</v>
      </c>
      <c r="Q41" s="10">
        <v>0</v>
      </c>
      <c r="R41" s="10">
        <v>31.1</v>
      </c>
      <c r="S41" s="10">
        <f t="shared" si="4"/>
        <v>3729.23</v>
      </c>
      <c r="T41" s="9">
        <v>46100</v>
      </c>
      <c r="U41" s="10">
        <v>3729.23</v>
      </c>
      <c r="V41" s="8" t="s">
        <v>117</v>
      </c>
      <c r="W41" s="10">
        <v>497.63</v>
      </c>
      <c r="X41" s="8">
        <f t="shared" si="5"/>
        <v>1</v>
      </c>
      <c r="Y41" s="11">
        <f t="shared" si="6"/>
        <v>497.63</v>
      </c>
      <c r="Z41" s="11">
        <f t="shared" si="3"/>
        <v>79.620800000000003</v>
      </c>
    </row>
    <row r="42" spans="1:26" x14ac:dyDescent="0.25">
      <c r="A42" s="8" t="s">
        <v>29</v>
      </c>
      <c r="B42" s="8" t="s">
        <v>30</v>
      </c>
      <c r="C42" s="8" t="s">
        <v>161</v>
      </c>
      <c r="D42" s="8" t="s">
        <v>24</v>
      </c>
      <c r="E42" s="8" t="s">
        <v>162</v>
      </c>
      <c r="F42" s="9">
        <v>46105</v>
      </c>
      <c r="G42" s="9">
        <v>46105</v>
      </c>
      <c r="H42" s="9">
        <v>46469</v>
      </c>
      <c r="I42" s="8" t="s">
        <v>163</v>
      </c>
      <c r="J42" s="8" t="s">
        <v>27</v>
      </c>
      <c r="K42" s="10">
        <v>190</v>
      </c>
      <c r="L42" s="10">
        <v>0</v>
      </c>
      <c r="M42" s="10">
        <v>2.85</v>
      </c>
      <c r="N42" s="10">
        <v>5.86</v>
      </c>
      <c r="O42" s="10">
        <v>0</v>
      </c>
      <c r="P42" s="10">
        <v>32.11</v>
      </c>
      <c r="Q42" s="10">
        <v>0</v>
      </c>
      <c r="R42" s="10">
        <v>2</v>
      </c>
      <c r="S42" s="10">
        <f t="shared" si="4"/>
        <v>232.82</v>
      </c>
      <c r="T42" s="9">
        <v>46105</v>
      </c>
      <c r="U42" s="10">
        <v>232.82</v>
      </c>
      <c r="V42" s="8" t="s">
        <v>61</v>
      </c>
      <c r="W42" s="10">
        <v>23.75</v>
      </c>
      <c r="X42" s="8">
        <f t="shared" si="5"/>
        <v>1</v>
      </c>
      <c r="Y42" s="11">
        <f t="shared" si="6"/>
        <v>23.75</v>
      </c>
      <c r="Z42" s="11">
        <f t="shared" si="3"/>
        <v>3.8000000000000003</v>
      </c>
    </row>
    <row r="43" spans="1:26" x14ac:dyDescent="0.25">
      <c r="A43" s="8" t="s">
        <v>29</v>
      </c>
      <c r="B43" s="8" t="s">
        <v>30</v>
      </c>
      <c r="C43" s="8" t="s">
        <v>164</v>
      </c>
      <c r="D43" s="8" t="s">
        <v>24</v>
      </c>
      <c r="E43" s="8" t="s">
        <v>165</v>
      </c>
      <c r="F43" s="9">
        <v>46106</v>
      </c>
      <c r="G43" s="9">
        <v>46126</v>
      </c>
      <c r="H43" s="9">
        <v>46490</v>
      </c>
      <c r="I43" s="8" t="s">
        <v>166</v>
      </c>
      <c r="J43" s="8" t="s">
        <v>27</v>
      </c>
      <c r="K43" s="10">
        <v>190</v>
      </c>
      <c r="L43" s="10">
        <v>0</v>
      </c>
      <c r="M43" s="10">
        <v>2.85</v>
      </c>
      <c r="N43" s="10">
        <v>5.86</v>
      </c>
      <c r="O43" s="10">
        <v>0</v>
      </c>
      <c r="P43" s="10">
        <v>32.11</v>
      </c>
      <c r="Q43" s="10">
        <v>0</v>
      </c>
      <c r="R43" s="10">
        <v>2</v>
      </c>
      <c r="S43" s="10">
        <f t="shared" si="4"/>
        <v>232.82</v>
      </c>
      <c r="T43" s="9">
        <v>46106</v>
      </c>
      <c r="U43" s="10">
        <v>232.82</v>
      </c>
      <c r="V43" s="8" t="s">
        <v>61</v>
      </c>
      <c r="W43" s="10">
        <v>23.75</v>
      </c>
      <c r="X43" s="8">
        <f t="shared" si="5"/>
        <v>1</v>
      </c>
      <c r="Y43" s="11">
        <f t="shared" si="6"/>
        <v>23.75</v>
      </c>
      <c r="Z43" s="11">
        <f t="shared" si="3"/>
        <v>3.8000000000000003</v>
      </c>
    </row>
    <row r="44" spans="1:26" x14ac:dyDescent="0.25">
      <c r="A44" s="8" t="s">
        <v>62</v>
      </c>
      <c r="B44" s="8" t="s">
        <v>62</v>
      </c>
      <c r="C44" s="8" t="s">
        <v>167</v>
      </c>
      <c r="D44" s="8" t="s">
        <v>32</v>
      </c>
      <c r="E44" s="8" t="s">
        <v>168</v>
      </c>
      <c r="F44" s="9">
        <v>46106</v>
      </c>
      <c r="G44" s="9">
        <v>46096</v>
      </c>
      <c r="H44" s="9">
        <v>46460</v>
      </c>
      <c r="I44" s="8" t="s">
        <v>153</v>
      </c>
      <c r="J44" s="8" t="s">
        <v>27</v>
      </c>
      <c r="K44" s="10">
        <v>2435.9</v>
      </c>
      <c r="L44" s="10">
        <v>0</v>
      </c>
      <c r="M44" s="10">
        <v>22.18</v>
      </c>
      <c r="N44" s="10">
        <v>49.16</v>
      </c>
      <c r="O44" s="10">
        <v>0</v>
      </c>
      <c r="P44" s="10">
        <v>405.06</v>
      </c>
      <c r="Q44" s="10">
        <v>0</v>
      </c>
      <c r="R44" s="10">
        <v>24.36</v>
      </c>
      <c r="S44" s="10">
        <f t="shared" si="4"/>
        <v>2936.66</v>
      </c>
      <c r="T44" s="9">
        <v>46104</v>
      </c>
      <c r="U44" s="10">
        <v>2936.66</v>
      </c>
      <c r="V44" s="8" t="s">
        <v>117</v>
      </c>
      <c r="W44" s="10">
        <v>389.74</v>
      </c>
      <c r="X44" s="8">
        <f t="shared" si="5"/>
        <v>1</v>
      </c>
      <c r="Y44" s="11">
        <f t="shared" si="6"/>
        <v>389.74</v>
      </c>
      <c r="Z44" s="11">
        <f t="shared" si="3"/>
        <v>62.358400000000003</v>
      </c>
    </row>
    <row r="45" spans="1:26" x14ac:dyDescent="0.25">
      <c r="A45" s="8" t="s">
        <v>44</v>
      </c>
      <c r="B45" s="8" t="s">
        <v>45</v>
      </c>
      <c r="C45" s="8" t="s">
        <v>169</v>
      </c>
      <c r="D45" s="8" t="s">
        <v>24</v>
      </c>
      <c r="E45" s="8" t="s">
        <v>170</v>
      </c>
      <c r="F45" s="9">
        <v>46107</v>
      </c>
      <c r="G45" s="9">
        <v>46107</v>
      </c>
      <c r="H45" s="9">
        <v>46471</v>
      </c>
      <c r="I45" s="8" t="s">
        <v>109</v>
      </c>
      <c r="J45" s="8" t="s">
        <v>27</v>
      </c>
      <c r="K45" s="10">
        <v>15</v>
      </c>
      <c r="L45" s="10">
        <v>0</v>
      </c>
      <c r="M45" s="10">
        <v>2.74</v>
      </c>
      <c r="N45" s="10">
        <v>0.35</v>
      </c>
      <c r="O45" s="10">
        <v>0</v>
      </c>
      <c r="P45" s="10">
        <v>6.89</v>
      </c>
      <c r="Q45" s="10">
        <v>0</v>
      </c>
      <c r="R45" s="10">
        <v>25</v>
      </c>
      <c r="S45" s="10">
        <f t="shared" si="4"/>
        <v>49.980000000000004</v>
      </c>
      <c r="T45" s="9">
        <v>46099</v>
      </c>
      <c r="U45" s="10">
        <v>49.98</v>
      </c>
      <c r="V45" s="8" t="s">
        <v>47</v>
      </c>
      <c r="W45" s="10">
        <v>2.25</v>
      </c>
      <c r="X45" s="8">
        <f t="shared" si="5"/>
        <v>0.99999999999999989</v>
      </c>
      <c r="Y45" s="11">
        <f t="shared" si="6"/>
        <v>2.2499999999999996</v>
      </c>
      <c r="Z45" s="11">
        <f t="shared" si="3"/>
        <v>0.35999999999999993</v>
      </c>
    </row>
    <row r="46" spans="1:26" x14ac:dyDescent="0.25">
      <c r="A46" s="8" t="s">
        <v>44</v>
      </c>
      <c r="B46" s="8" t="s">
        <v>45</v>
      </c>
      <c r="C46" s="8" t="s">
        <v>171</v>
      </c>
      <c r="D46" s="8" t="s">
        <v>24</v>
      </c>
      <c r="E46" s="8" t="s">
        <v>172</v>
      </c>
      <c r="F46" s="9">
        <v>46107</v>
      </c>
      <c r="G46" s="9">
        <v>46107</v>
      </c>
      <c r="H46" s="9">
        <v>46471</v>
      </c>
      <c r="I46" s="8" t="s">
        <v>109</v>
      </c>
      <c r="J46" s="8" t="s">
        <v>27</v>
      </c>
      <c r="K46" s="10">
        <v>82.68</v>
      </c>
      <c r="L46" s="10">
        <v>0</v>
      </c>
      <c r="M46" s="10">
        <v>6</v>
      </c>
      <c r="N46" s="10">
        <v>1.77</v>
      </c>
      <c r="O46" s="10">
        <v>0</v>
      </c>
      <c r="P46" s="10">
        <v>18.47</v>
      </c>
      <c r="Q46" s="10">
        <v>0</v>
      </c>
      <c r="R46" s="10">
        <v>25</v>
      </c>
      <c r="S46" s="10">
        <f t="shared" si="4"/>
        <v>133.92000000000002</v>
      </c>
      <c r="T46" s="9">
        <v>46111</v>
      </c>
      <c r="U46" s="10">
        <v>133.91999999999999</v>
      </c>
      <c r="V46" s="8" t="s">
        <v>47</v>
      </c>
      <c r="W46" s="10">
        <v>12.4</v>
      </c>
      <c r="X46" s="8">
        <f t="shared" si="5"/>
        <v>0.99999999999999978</v>
      </c>
      <c r="Y46" s="11">
        <f t="shared" si="6"/>
        <v>12.399999999999997</v>
      </c>
      <c r="Z46" s="11">
        <f t="shared" si="3"/>
        <v>1.9839999999999995</v>
      </c>
    </row>
    <row r="47" spans="1:26" x14ac:dyDescent="0.25">
      <c r="A47" s="8" t="s">
        <v>44</v>
      </c>
      <c r="B47" s="8" t="s">
        <v>173</v>
      </c>
      <c r="C47" s="8" t="s">
        <v>174</v>
      </c>
      <c r="D47" s="8" t="s">
        <v>24</v>
      </c>
      <c r="E47" s="8" t="s">
        <v>175</v>
      </c>
      <c r="F47" s="9">
        <v>46107</v>
      </c>
      <c r="G47" s="9">
        <v>46102</v>
      </c>
      <c r="H47" s="9">
        <v>46466</v>
      </c>
      <c r="I47" s="8" t="s">
        <v>176</v>
      </c>
      <c r="J47" s="8" t="s">
        <v>27</v>
      </c>
      <c r="K47" s="10">
        <v>2688.15</v>
      </c>
      <c r="L47" s="10">
        <v>0</v>
      </c>
      <c r="M47" s="10">
        <v>40.32</v>
      </c>
      <c r="N47" s="10">
        <v>54.57</v>
      </c>
      <c r="O47" s="10">
        <v>0</v>
      </c>
      <c r="P47" s="10">
        <v>0</v>
      </c>
      <c r="Q47" s="10">
        <v>0</v>
      </c>
      <c r="R47" s="10">
        <v>0</v>
      </c>
      <c r="S47" s="10">
        <f t="shared" si="4"/>
        <v>2783.0400000000004</v>
      </c>
      <c r="T47" s="9">
        <v>46108</v>
      </c>
      <c r="U47" s="10">
        <v>2783.04</v>
      </c>
      <c r="V47" s="8" t="s">
        <v>177</v>
      </c>
      <c r="W47" s="10">
        <v>268.82</v>
      </c>
      <c r="X47" s="8">
        <f t="shared" si="5"/>
        <v>0.99999999999999989</v>
      </c>
      <c r="Y47" s="11">
        <f t="shared" si="6"/>
        <v>268.81999999999994</v>
      </c>
      <c r="Z47" s="11">
        <f t="shared" si="3"/>
        <v>43.011199999999988</v>
      </c>
    </row>
    <row r="48" spans="1:26" x14ac:dyDescent="0.25">
      <c r="A48" s="8" t="s">
        <v>44</v>
      </c>
      <c r="B48" s="8" t="s">
        <v>45</v>
      </c>
      <c r="C48" s="8" t="s">
        <v>178</v>
      </c>
      <c r="D48" s="8" t="s">
        <v>24</v>
      </c>
      <c r="E48" s="8" t="s">
        <v>179</v>
      </c>
      <c r="F48" s="9">
        <v>46111</v>
      </c>
      <c r="G48" s="9">
        <v>46111</v>
      </c>
      <c r="H48" s="9">
        <v>46475</v>
      </c>
      <c r="I48" s="8" t="s">
        <v>180</v>
      </c>
      <c r="J48" s="8" t="s">
        <v>27</v>
      </c>
      <c r="K48" s="10">
        <v>179.82</v>
      </c>
      <c r="L48" s="10">
        <v>0</v>
      </c>
      <c r="M48" s="10">
        <v>6</v>
      </c>
      <c r="N48" s="10">
        <v>3.72</v>
      </c>
      <c r="O48" s="10">
        <v>0</v>
      </c>
      <c r="P48" s="10">
        <v>0</v>
      </c>
      <c r="Q48" s="10">
        <v>0</v>
      </c>
      <c r="R48" s="10">
        <v>25</v>
      </c>
      <c r="S48" s="10">
        <f t="shared" si="4"/>
        <v>214.54</v>
      </c>
      <c r="T48" s="9">
        <v>46097</v>
      </c>
      <c r="U48" s="10">
        <v>214.54</v>
      </c>
      <c r="V48" s="8" t="s">
        <v>47</v>
      </c>
      <c r="W48" s="10">
        <v>26.97</v>
      </c>
      <c r="X48" s="8">
        <f t="shared" si="5"/>
        <v>1</v>
      </c>
      <c r="Y48" s="11">
        <f t="shared" si="6"/>
        <v>26.97</v>
      </c>
      <c r="Z48" s="11">
        <f t="shared" si="3"/>
        <v>4.3151999999999999</v>
      </c>
    </row>
    <row r="49" spans="1:26" x14ac:dyDescent="0.25">
      <c r="A49" s="8" t="s">
        <v>29</v>
      </c>
      <c r="B49" s="8" t="s">
        <v>30</v>
      </c>
      <c r="C49" s="8" t="s">
        <v>181</v>
      </c>
      <c r="D49" s="8" t="s">
        <v>24</v>
      </c>
      <c r="E49" s="8" t="s">
        <v>182</v>
      </c>
      <c r="F49" s="9">
        <v>46111</v>
      </c>
      <c r="G49" s="9">
        <v>46113</v>
      </c>
      <c r="H49" s="9">
        <v>46477</v>
      </c>
      <c r="I49" s="8" t="s">
        <v>176</v>
      </c>
      <c r="J49" s="8" t="s">
        <v>27</v>
      </c>
      <c r="K49" s="10">
        <v>316.04000000000002</v>
      </c>
      <c r="L49" s="10">
        <v>0</v>
      </c>
      <c r="M49" s="10">
        <v>4.74</v>
      </c>
      <c r="N49" s="10">
        <v>8.42</v>
      </c>
      <c r="O49" s="10">
        <v>0</v>
      </c>
      <c r="P49" s="10">
        <v>0</v>
      </c>
      <c r="Q49" s="10">
        <v>0</v>
      </c>
      <c r="R49" s="10">
        <v>2</v>
      </c>
      <c r="S49" s="10">
        <f t="shared" si="4"/>
        <v>331.20000000000005</v>
      </c>
      <c r="T49" s="9">
        <v>46108</v>
      </c>
      <c r="U49" s="10">
        <v>331.2</v>
      </c>
      <c r="V49" s="8" t="s">
        <v>61</v>
      </c>
      <c r="W49" s="10">
        <v>39.51</v>
      </c>
      <c r="X49" s="8">
        <f t="shared" si="5"/>
        <v>0.99999999999999978</v>
      </c>
      <c r="Y49" s="11">
        <f t="shared" si="6"/>
        <v>39.509999999999991</v>
      </c>
      <c r="Z49" s="11">
        <f t="shared" si="3"/>
        <v>6.3215999999999983</v>
      </c>
    </row>
    <row r="50" spans="1:26" x14ac:dyDescent="0.25">
      <c r="A50" s="8" t="s">
        <v>62</v>
      </c>
      <c r="B50" s="8" t="s">
        <v>62</v>
      </c>
      <c r="C50" s="8" t="s">
        <v>183</v>
      </c>
      <c r="D50" s="8" t="s">
        <v>32</v>
      </c>
      <c r="E50" s="8" t="s">
        <v>184</v>
      </c>
      <c r="F50" s="9">
        <v>46112</v>
      </c>
      <c r="G50" s="9">
        <v>46106</v>
      </c>
      <c r="H50" s="9">
        <v>46470</v>
      </c>
      <c r="I50" s="8" t="s">
        <v>185</v>
      </c>
      <c r="J50" s="8" t="s">
        <v>27</v>
      </c>
      <c r="K50" s="10">
        <v>8870.7000000000007</v>
      </c>
      <c r="L50" s="10">
        <v>0</v>
      </c>
      <c r="M50" s="10">
        <v>74.25</v>
      </c>
      <c r="N50" s="10">
        <v>180.07</v>
      </c>
      <c r="O50" s="10">
        <v>0</v>
      </c>
      <c r="P50" s="10">
        <v>1476.42</v>
      </c>
      <c r="Q50" s="10">
        <v>0</v>
      </c>
      <c r="R50" s="10">
        <v>102.59</v>
      </c>
      <c r="S50" s="10">
        <f t="shared" si="4"/>
        <v>10704.03</v>
      </c>
      <c r="T50" s="9">
        <v>46106</v>
      </c>
      <c r="U50" s="10">
        <v>4246.8599999999997</v>
      </c>
      <c r="V50" s="8" t="s">
        <v>117</v>
      </c>
      <c r="W50" s="10">
        <v>1419.31</v>
      </c>
      <c r="X50" s="8">
        <f t="shared" si="5"/>
        <v>0.39675337232799229</v>
      </c>
      <c r="Y50" s="11">
        <f t="shared" si="6"/>
        <v>563.11602887884271</v>
      </c>
      <c r="Z50" s="11">
        <f t="shared" si="3"/>
        <v>90.098564620614837</v>
      </c>
    </row>
    <row r="51" spans="1:26" s="16" customFormat="1" x14ac:dyDescent="0.25">
      <c r="A51" s="12" t="s">
        <v>22</v>
      </c>
      <c r="B51" s="12" t="s">
        <v>22</v>
      </c>
      <c r="C51" s="12" t="s">
        <v>186</v>
      </c>
      <c r="D51" s="12" t="s">
        <v>63</v>
      </c>
      <c r="E51" s="12" t="s">
        <v>187</v>
      </c>
      <c r="F51" s="13">
        <v>46114</v>
      </c>
      <c r="G51" s="13">
        <v>45996</v>
      </c>
      <c r="H51" s="13">
        <v>46234</v>
      </c>
      <c r="I51" s="12" t="s">
        <v>188</v>
      </c>
      <c r="J51" s="12" t="s">
        <v>27</v>
      </c>
      <c r="K51" s="14">
        <v>57785.62</v>
      </c>
      <c r="L51" s="14">
        <v>10197.459999999999</v>
      </c>
      <c r="M51" s="14">
        <v>298.93</v>
      </c>
      <c r="N51" s="14">
        <v>1365.64</v>
      </c>
      <c r="O51" s="14">
        <v>0</v>
      </c>
      <c r="P51" s="14">
        <v>11183.62</v>
      </c>
      <c r="Q51" s="14">
        <v>0</v>
      </c>
      <c r="R51" s="14">
        <v>250</v>
      </c>
      <c r="S51" s="14">
        <f t="shared" si="4"/>
        <v>81081.26999999999</v>
      </c>
      <c r="T51" s="13">
        <v>46099</v>
      </c>
      <c r="U51" s="14">
        <v>27143.77</v>
      </c>
      <c r="V51" s="12">
        <v>4.99</v>
      </c>
      <c r="W51" s="14">
        <v>2885.88</v>
      </c>
      <c r="X51" s="12">
        <f t="shared" si="5"/>
        <v>0.33477238331368026</v>
      </c>
      <c r="Y51" s="15">
        <f t="shared" si="6"/>
        <v>966.11292555728357</v>
      </c>
      <c r="Z51" s="11">
        <f t="shared" si="3"/>
        <v>154.57806808916538</v>
      </c>
    </row>
    <row r="52" spans="1:26" x14ac:dyDescent="0.25">
      <c r="A52" s="8" t="s">
        <v>22</v>
      </c>
      <c r="B52" s="8" t="s">
        <v>22</v>
      </c>
      <c r="C52" s="8" t="s">
        <v>36</v>
      </c>
      <c r="D52" s="8">
        <v>1</v>
      </c>
      <c r="E52" s="8" t="s">
        <v>37</v>
      </c>
      <c r="F52" s="9">
        <v>46115</v>
      </c>
      <c r="G52" s="9">
        <v>45889</v>
      </c>
      <c r="H52" s="9">
        <v>46253</v>
      </c>
      <c r="I52" s="8" t="s">
        <v>38</v>
      </c>
      <c r="J52" s="8" t="s">
        <v>27</v>
      </c>
      <c r="K52" s="10">
        <v>31852.93</v>
      </c>
      <c r="L52" s="10">
        <v>5621.11</v>
      </c>
      <c r="M52" s="10">
        <v>159.26</v>
      </c>
      <c r="N52" s="10">
        <v>752.67</v>
      </c>
      <c r="O52" s="10">
        <v>0</v>
      </c>
      <c r="P52" s="10">
        <v>6141.76</v>
      </c>
      <c r="Q52" s="10">
        <v>0</v>
      </c>
      <c r="R52" s="10">
        <v>0</v>
      </c>
      <c r="S52" s="10">
        <f t="shared" si="4"/>
        <v>44527.73</v>
      </c>
      <c r="T52" s="9">
        <v>46106</v>
      </c>
      <c r="U52" s="10">
        <v>22263.86</v>
      </c>
      <c r="V52" s="8" t="s">
        <v>39</v>
      </c>
      <c r="W52" s="10">
        <v>1522.57</v>
      </c>
      <c r="X52" s="8">
        <f t="shared" si="5"/>
        <v>0.4999998877104222</v>
      </c>
      <c r="Y52" s="11">
        <f t="shared" si="6"/>
        <v>761.28482903125746</v>
      </c>
      <c r="Z52" s="11">
        <f t="shared" si="3"/>
        <v>121.80557264500119</v>
      </c>
    </row>
    <row r="53" spans="1:26" x14ac:dyDescent="0.25">
      <c r="A53" s="8" t="s">
        <v>192</v>
      </c>
      <c r="B53" s="8" t="s">
        <v>193</v>
      </c>
      <c r="C53" s="8" t="s">
        <v>194</v>
      </c>
      <c r="D53" s="8" t="s">
        <v>24</v>
      </c>
      <c r="E53" s="8" t="s">
        <v>195</v>
      </c>
      <c r="F53" s="9">
        <v>46083</v>
      </c>
      <c r="G53" s="9">
        <v>46060</v>
      </c>
      <c r="H53" s="9">
        <v>46424</v>
      </c>
      <c r="I53" s="8" t="s">
        <v>85</v>
      </c>
      <c r="J53" s="8" t="s">
        <v>27</v>
      </c>
      <c r="K53" s="10">
        <v>22352.94</v>
      </c>
      <c r="L53" s="10">
        <v>3944.64</v>
      </c>
      <c r="M53" s="10">
        <v>121.76</v>
      </c>
      <c r="N53" s="10">
        <v>528.39</v>
      </c>
      <c r="O53" s="10">
        <v>0</v>
      </c>
      <c r="P53" s="10">
        <v>4311.6400000000003</v>
      </c>
      <c r="Q53" s="10">
        <v>0</v>
      </c>
      <c r="R53" s="10">
        <v>0</v>
      </c>
      <c r="S53" s="10">
        <f t="shared" si="4"/>
        <v>31259.369999999995</v>
      </c>
      <c r="T53" s="9">
        <v>46078</v>
      </c>
      <c r="U53" s="10">
        <v>31259.37</v>
      </c>
      <c r="V53" s="8" t="s">
        <v>47</v>
      </c>
      <c r="W53" s="10">
        <v>-2347.06</v>
      </c>
      <c r="X53" s="8">
        <f t="shared" si="5"/>
        <v>1.0000000000000002</v>
      </c>
      <c r="Y53" s="11">
        <f t="shared" si="6"/>
        <v>-2347.0600000000004</v>
      </c>
      <c r="Z53" s="11">
        <f t="shared" si="3"/>
        <v>-375.52960000000007</v>
      </c>
    </row>
    <row r="55" spans="1:26" x14ac:dyDescent="0.25">
      <c r="Y55" s="3"/>
      <c r="Z55" s="3"/>
    </row>
  </sheetData>
  <autoFilter ref="A1:Z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ADAYMI</dc:creator>
  <cp:lastModifiedBy>Serge SULA</cp:lastModifiedBy>
  <dcterms:created xsi:type="dcterms:W3CDTF">2026-04-07T09:50:15Z</dcterms:created>
  <dcterms:modified xsi:type="dcterms:W3CDTF">2026-05-28T01:06:09Z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2026-04-07T09:49:17Z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d421fe65-21f4-4d51-8fcd-92c3ccbe148a</vt:lpwstr>
  </property>
  <property fmtid="{D5CDD505-2E9C-101B-9397-08002B2CF9AE}" pid="7" name="MSIP_Label_defa4170-0d19-0005-0004-bc88714345d2_ActionId">
    <vt:lpwstr>cdf159cd-2321-4513-bf44-931fb160ff5b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