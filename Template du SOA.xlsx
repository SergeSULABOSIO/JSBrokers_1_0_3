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SBrokers_1_0_3\"/>
    </mc:Choice>
  </mc:AlternateContent>
  <xr:revisionPtr revIDLastSave="0" documentId="13_ncr:1_{2FAB3CE5-0A56-406B-9D94-3ECC91AA1B58}" xr6:coauthVersionLast="47" xr6:coauthVersionMax="47" xr10:uidLastSave="{00000000-0000-0000-0000-000000000000}"/>
  <bookViews>
    <workbookView xWindow="-13470" yWindow="-5565" windowWidth="13500" windowHeight="10980" xr2:uid="{F6D134A9-AAB0-457E-AD9F-16F2EB0CA2A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G5" i="1"/>
  <c r="G6" i="1"/>
  <c r="G7" i="1"/>
  <c r="G4" i="1"/>
  <c r="F5" i="1"/>
  <c r="F6" i="1"/>
  <c r="F4" i="1"/>
  <c r="E13" i="1"/>
  <c r="E14" i="1" s="1"/>
  <c r="G14" i="1" s="1"/>
  <c r="E8" i="1"/>
  <c r="F8" i="1" s="1"/>
  <c r="E17" i="1" l="1"/>
  <c r="E23" i="1" s="1"/>
  <c r="G8" i="1"/>
  <c r="F14" i="1"/>
  <c r="F13" i="1"/>
  <c r="F17" i="1" s="1"/>
  <c r="G13" i="1"/>
  <c r="G17" i="1" s="1"/>
  <c r="E15" i="1"/>
  <c r="G23" i="1" l="1"/>
  <c r="F23" i="1"/>
  <c r="E16" i="1"/>
  <c r="G15" i="1"/>
  <c r="F15" i="1"/>
  <c r="F16" i="1" l="1"/>
  <c r="G16" i="1"/>
</calcChain>
</file>

<file path=xl/sharedStrings.xml><?xml version="1.0" encoding="utf-8"?>
<sst xmlns="http://schemas.openxmlformats.org/spreadsheetml/2006/main" count="22" uniqueCount="22">
  <si>
    <t>Prime nette</t>
  </si>
  <si>
    <t>Frais Arca</t>
  </si>
  <si>
    <t>TVA</t>
  </si>
  <si>
    <t>Frais Admin</t>
  </si>
  <si>
    <t>Prime TTC</t>
  </si>
  <si>
    <t>Comm. TTC</t>
  </si>
  <si>
    <t>Partenaire</t>
  </si>
  <si>
    <t>1ère Tranche</t>
  </si>
  <si>
    <t>2e Tranche</t>
  </si>
  <si>
    <t>Comm. Ordinaire HT</t>
  </si>
  <si>
    <t>Taxe Assureur (ex: Tva)</t>
  </si>
  <si>
    <t>Taxe Courtier (ex: Arca)</t>
  </si>
  <si>
    <t>Comm. Pure (Assiètte)</t>
  </si>
  <si>
    <t>Structure de la prime d'assurance</t>
  </si>
  <si>
    <t>Structure du Revenu de courtage</t>
  </si>
  <si>
    <t>Rétro-commission</t>
  </si>
  <si>
    <t>OLEA</t>
  </si>
  <si>
    <t>Part</t>
  </si>
  <si>
    <t>Structure de la Rétro-commission avec l'apporteur d'affaire</t>
  </si>
  <si>
    <t>Montant payé</t>
  </si>
  <si>
    <t>Date de paiement</t>
  </si>
  <si>
    <t>Solde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</si>
</sst>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1" applyFont="1"/>
    <xf numFmtId="164" fontId="0" fillId="0" borderId="0" xfId="0" applyNumberFormat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5BF2-437D-4F24-BA9F-25AAF95E8FC9}">
  <dimension ref="D1:K26"/>
  <sheetViews>
    <sheetView tabSelected="1" topLeftCell="A9" workbookViewId="0">
      <selection activeCell="F25" sqref="F25"/>
    </sheetView>
  </sheetViews>
  <sheetFormatPr baseColWidth="10" defaultRowHeight="15" x14ac:dyDescent="0.25"/>
  <cols>
    <col min="4" max="4" width="22.28515625" style="4" bestFit="1" customWidth="1"/>
    <col min="5" max="5" width="11.42578125" style="1"/>
    <col min="6" max="6" width="15.7109375" customWidth="1"/>
    <col min="7" max="7" width="15.85546875" customWidth="1"/>
  </cols>
  <sheetData>
    <row r="1" spans="4:11" x14ac:dyDescent="0.25">
      <c r="F1" s="3" t="s">
        <v>7</v>
      </c>
      <c r="G1" s="3" t="s">
        <v>8</v>
      </c>
    </row>
    <row r="2" spans="4:11" x14ac:dyDescent="0.25">
      <c r="F2" s="2">
        <v>0.5</v>
      </c>
      <c r="G2" s="2">
        <v>0.5</v>
      </c>
    </row>
    <row r="3" spans="4:11" x14ac:dyDescent="0.25">
      <c r="D3" s="6" t="s">
        <v>13</v>
      </c>
      <c r="E3" s="6"/>
      <c r="F3" s="6"/>
      <c r="G3" s="6"/>
    </row>
    <row r="4" spans="4:11" x14ac:dyDescent="0.25">
      <c r="D4" s="4" t="s">
        <v>0</v>
      </c>
      <c r="E4" s="1">
        <v>100</v>
      </c>
      <c r="F4" s="1">
        <f>E4*$F$2</f>
        <v>50</v>
      </c>
      <c r="G4" s="1">
        <f>E4*$G$2</f>
        <v>50</v>
      </c>
      <c r="K4" s="1"/>
    </row>
    <row r="5" spans="4:11" x14ac:dyDescent="0.25">
      <c r="D5" s="4" t="s">
        <v>1</v>
      </c>
      <c r="E5" s="1">
        <v>20</v>
      </c>
      <c r="F5" s="1">
        <f t="shared" ref="F5:F8" si="0">E5*$F$2</f>
        <v>10</v>
      </c>
      <c r="G5" s="1">
        <f t="shared" ref="G5:G8" si="1">E5*$G$2</f>
        <v>10</v>
      </c>
    </row>
    <row r="6" spans="4:11" x14ac:dyDescent="0.25">
      <c r="D6" s="4" t="s">
        <v>2</v>
      </c>
      <c r="E6" s="1">
        <v>16</v>
      </c>
      <c r="F6" s="1">
        <f t="shared" si="0"/>
        <v>8</v>
      </c>
      <c r="G6" s="1">
        <f t="shared" si="1"/>
        <v>8</v>
      </c>
    </row>
    <row r="7" spans="4:11" x14ac:dyDescent="0.25">
      <c r="D7" s="4" t="s">
        <v>3</v>
      </c>
      <c r="E7" s="1">
        <v>10</v>
      </c>
      <c r="F7" s="1">
        <f>E7*$F$2</f>
        <v>5</v>
      </c>
      <c r="G7" s="1">
        <f t="shared" si="1"/>
        <v>5</v>
      </c>
    </row>
    <row r="8" spans="4:11" x14ac:dyDescent="0.25">
      <c r="D8" s="4" t="s">
        <v>4</v>
      </c>
      <c r="E8" s="5">
        <f>SUM(E4:E7)</f>
        <v>146</v>
      </c>
      <c r="F8" s="5">
        <f t="shared" si="0"/>
        <v>73</v>
      </c>
      <c r="G8" s="5">
        <f t="shared" si="1"/>
        <v>73</v>
      </c>
    </row>
    <row r="9" spans="4:11" x14ac:dyDescent="0.25">
      <c r="E9" s="5"/>
      <c r="F9" s="5"/>
      <c r="G9" s="5"/>
    </row>
    <row r="10" spans="4:11" x14ac:dyDescent="0.25">
      <c r="E10" s="5"/>
      <c r="F10" s="5"/>
      <c r="G10" s="5"/>
    </row>
    <row r="12" spans="4:11" x14ac:dyDescent="0.25">
      <c r="D12" s="6" t="s">
        <v>14</v>
      </c>
      <c r="E12" s="6"/>
      <c r="F12" s="6"/>
      <c r="G12" s="6"/>
    </row>
    <row r="13" spans="4:11" x14ac:dyDescent="0.25">
      <c r="D13" s="4" t="s">
        <v>9</v>
      </c>
      <c r="E13" s="1">
        <f>10%*E4</f>
        <v>10</v>
      </c>
      <c r="F13" s="1">
        <f t="shared" ref="F13:F16" si="2">E13*$F$2</f>
        <v>5</v>
      </c>
      <c r="G13" s="1">
        <f t="shared" ref="G13:G16" si="3">E13*$G$2</f>
        <v>5</v>
      </c>
    </row>
    <row r="14" spans="4:11" x14ac:dyDescent="0.25">
      <c r="D14" s="4" t="s">
        <v>11</v>
      </c>
      <c r="E14" s="1">
        <f>2%*E13</f>
        <v>0.2</v>
      </c>
      <c r="F14" s="1">
        <f t="shared" si="2"/>
        <v>0.1</v>
      </c>
      <c r="G14" s="1">
        <f t="shared" si="3"/>
        <v>0.1</v>
      </c>
    </row>
    <row r="15" spans="4:11" x14ac:dyDescent="0.25">
      <c r="D15" s="4" t="s">
        <v>10</v>
      </c>
      <c r="E15" s="1">
        <f>16%*E13</f>
        <v>1.6</v>
      </c>
      <c r="F15" s="1">
        <f t="shared" si="2"/>
        <v>0.8</v>
      </c>
      <c r="G15" s="1">
        <f t="shared" si="3"/>
        <v>0.8</v>
      </c>
    </row>
    <row r="16" spans="4:11" x14ac:dyDescent="0.25">
      <c r="D16" s="4" t="s">
        <v>5</v>
      </c>
      <c r="E16" s="5">
        <f>E15+E13</f>
        <v>11.6</v>
      </c>
      <c r="F16" s="5">
        <f t="shared" si="2"/>
        <v>5.8</v>
      </c>
      <c r="G16" s="5">
        <f t="shared" si="3"/>
        <v>5.8</v>
      </c>
    </row>
    <row r="17" spans="4:7" x14ac:dyDescent="0.25">
      <c r="D17" s="4" t="s">
        <v>12</v>
      </c>
      <c r="E17" s="1">
        <f>E13-E14</f>
        <v>9.8000000000000007</v>
      </c>
      <c r="F17" s="1">
        <f>F13-F14</f>
        <v>4.9000000000000004</v>
      </c>
      <c r="G17" s="1">
        <f>G13-G14</f>
        <v>4.9000000000000004</v>
      </c>
    </row>
    <row r="20" spans="4:7" x14ac:dyDescent="0.25">
      <c r="D20" s="6" t="s">
        <v>18</v>
      </c>
      <c r="E20" s="6"/>
      <c r="F20" s="6"/>
      <c r="G20" s="6"/>
    </row>
    <row r="21" spans="4:7" x14ac:dyDescent="0.25">
      <c r="D21" s="4" t="s">
        <v>6</v>
      </c>
      <c r="E21" s="8" t="s">
        <v>16</v>
      </c>
    </row>
    <row r="22" spans="4:7" x14ac:dyDescent="0.25">
      <c r="D22" s="4" t="s">
        <v>17</v>
      </c>
      <c r="E22" s="7">
        <v>0.35</v>
      </c>
      <c r="F22" s="7"/>
      <c r="G22" s="7"/>
    </row>
    <row r="23" spans="4:7" x14ac:dyDescent="0.25">
      <c r="D23" s="4" t="s">
        <v>15</v>
      </c>
      <c r="E23" s="1">
        <f>E22*E17</f>
        <v>3.43</v>
      </c>
      <c r="F23" s="1">
        <f>E23*$F$2</f>
        <v>1.7150000000000001</v>
      </c>
      <c r="G23">
        <f t="shared" ref="G23" si="4">E23*$G$2</f>
        <v>1.7150000000000001</v>
      </c>
    </row>
    <row r="24" spans="4:7" x14ac:dyDescent="0.25">
      <c r="D24" s="4" t="s">
        <v>19</v>
      </c>
      <c r="F24">
        <v>1.7150000000000001</v>
      </c>
      <c r="G24">
        <v>1.7150000000000001</v>
      </c>
    </row>
    <row r="25" spans="4:7" x14ac:dyDescent="0.25">
      <c r="D25" s="4" t="s">
        <v>20</v>
      </c>
    </row>
    <row r="26" spans="4:7" x14ac:dyDescent="0.25">
      <c r="D26" s="4" t="s">
        <v>21</v>
      </c>
    </row>
  </sheetData>
  <mergeCells count="3">
    <mergeCell ref="D12:G12"/>
    <mergeCell ref="D3:G3"/>
    <mergeCell ref="D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SULA</dc:creator>
  <cp:lastModifiedBy>Serge SULA</cp:lastModifiedBy>
  <dcterms:created xsi:type="dcterms:W3CDTF">2026-02-18T08:41:39Z</dcterms:created>
  <dcterms:modified xsi:type="dcterms:W3CDTF">2026-02-18T09:24:27Z</dcterms:modified>
</cp:coreProperties>
</file>